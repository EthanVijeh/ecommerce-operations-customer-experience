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DB\EXCELCNV\232f4579-f498-47e9-9001-e55df2130f17\"/>
    </mc:Choice>
  </mc:AlternateContent>
  <xr:revisionPtr revIDLastSave="0" documentId="8_{0D1B7BBA-3A00-4F36-9FEB-3AA078EE1534}" xr6:coauthVersionLast="47" xr6:coauthVersionMax="47" xr10:uidLastSave="{00000000-0000-0000-0000-000000000000}"/>
  <bookViews>
    <workbookView xWindow="-60" yWindow="-60" windowWidth="15480" windowHeight="11640" xr2:uid="{D95CBBEB-1084-41BA-89F6-37B59677FEE3}"/>
  </bookViews>
  <sheets>
    <sheet name="Dashboard" sheetId="7" r:id="rId1"/>
    <sheet name="Monthly Sales" sheetId="1" r:id="rId2"/>
    <sheet name="State Sales" sheetId="2" r:id="rId3"/>
    <sheet name="Product Categories" sheetId="3" r:id="rId4"/>
    <sheet name="delivery reviews" sheetId="4" r:id="rId5"/>
    <sheet name="Customer Retention" sheetId="5" r:id="rId6"/>
    <sheet name="Shipping Efficiency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<sst xmlns="http://schemas.openxmlformats.org/spreadsheetml/2006/main" count="141" uniqueCount="100">
  <si>
    <t>Olist E-Commerce Business Analytics Dashboard</t>
  </si>
  <si>
    <t>Key Business Insights</t>
  </si>
  <si>
    <t xml:space="preserve">- Late deliveries averaged 2.57/5 stars vs. 4.29/5 for on-time deliveries.
- Only 3.0% of customers purchased again, despite repeat customers being worth R$260 vs. R$138 on average.
- Health &amp; Beauty generated the most category revenue at approximately R$1.23M.
- Several states combine high freight costs with elevated late-delivery rates, indicating regional logistics opportunities.                                                                                                   
                                    </t>
  </si>
  <si>
    <t>Total Revenue
R$13.22M</t>
  </si>
  <si>
    <t>Total Orders
96,478</t>
  </si>
  <si>
    <r>
      <rPr>
        <b/>
        <sz val="11"/>
        <color rgb="FF000000"/>
        <rFont val="Calibri"/>
        <scheme val="minor"/>
      </rPr>
      <t xml:space="preserve">Repeat Customer Rate
</t>
    </r>
    <r>
      <rPr>
        <b/>
        <sz val="14"/>
        <color rgb="FF000000"/>
        <rFont val="Calibri"/>
        <scheme val="minor"/>
      </rPr>
      <t>3.0%</t>
    </r>
  </si>
  <si>
    <r>
      <rPr>
        <b/>
        <sz val="12"/>
        <color rgb="FF000000"/>
        <rFont val="Calibri"/>
        <scheme val="minor"/>
      </rPr>
      <t xml:space="preserve">Late Delivery Rate
</t>
    </r>
    <r>
      <rPr>
        <b/>
        <sz val="16"/>
        <color rgb="FF000000"/>
        <rFont val="Calibri"/>
        <scheme val="minor"/>
      </rPr>
      <t>8.1%</t>
    </r>
  </si>
  <si>
    <t>Business Recommendations</t>
  </si>
  <si>
    <t>-Prioritize delivery improvements in states with high late-delivery rates.
-Develop retention campaigns targeting first-time buyers to increase repeat purchases.
-Protect and expand high-performing product categories.
-Investigate carrier and fulfillment performance in high-cost shipping regions.</t>
  </si>
  <si>
    <t>Repeat customers generate ~89% higher average customer value.</t>
  </si>
  <si>
    <t>54.0% of late orders received 1–2 stars vs. 9.2% of on-time orders.</t>
  </si>
  <si>
    <t>Month</t>
  </si>
  <si>
    <t>orders</t>
  </si>
  <si>
    <t>revenue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</si>
  <si>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</si>
  <si>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</si>
  <si>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</si>
  <si>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</si>
  <si>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</si>
  <si>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</si>
  <si>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</si>
  <si>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</si>
  <si>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</si>
  <si>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</si>
  <si>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</si>
  <si>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</si>
  <si>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</si>
  <si>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</si>
  <si>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</si>
  <si>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</si>
  <si>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</si>
  <si>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</si>
  <si>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</si>
  <si>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</si>
  <si>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</si>
  <si>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</si>
  <si>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</si>
  <si>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customer_state</t>
  </si>
  <si>
    <t>avg_order_value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</si>
  <si>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</si>
  <si>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</si>
  <si>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</si>
  <si>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</si>
  <si>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</si>
  <si>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</si>
  <si>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</si>
  <si>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</si>
  <si>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</si>
  <si>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</si>
  <si>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</si>
  <si>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</si>
  <si>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</si>
  <si>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</si>
  <si>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</si>
  <si>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</si>
  <si>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</si>
  <si>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</si>
  <si>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</si>
  <si>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</si>
  <si>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</si>
  <si>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</si>
  <si>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</si>
  <si>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</si>
  <si>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</si>
  <si>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</si>
  <si>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</si>
  <si>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category</t>
  </si>
  <si>
    <t>avg_item_price</t>
  </si>
  <si>
    <t>Health Beauty</t>
  </si>
  <si>
    <t>Watches/Gifts</t>
  </si>
  <si>
    <t>Bed/Bath</t>
  </si>
  <si>
    <t>Sports Leisure</t>
  </si>
  <si>
    <t>Computers Accessories</t>
  </si>
  <si>
    <t>Furniture/Decor</t>
  </si>
  <si>
    <t>Housewares</t>
  </si>
  <si>
    <t>Cool Stuff</t>
  </si>
  <si>
    <t>Auto</t>
  </si>
  <si>
    <t>Toys</t>
  </si>
  <si>
    <t>Garden Tools</t>
  </si>
  <si>
    <t>baby</t>
  </si>
  <si>
    <t>Perfumery</t>
  </si>
  <si>
    <t>telephony</t>
  </si>
  <si>
    <t>Office Furniture</t>
  </si>
  <si>
    <t>delivery_status</t>
  </si>
  <si>
    <t>avg_review_score</t>
  </si>
  <si>
    <t>low_review_rate</t>
  </si>
  <si>
    <t>Late</t>
  </si>
  <si>
    <t>On Time</t>
  </si>
  <si>
    <t>customer_type</t>
  </si>
  <si>
    <t>customers</t>
  </si>
  <si>
    <t>avg_orders_per_customer</t>
  </si>
  <si>
    <t>avg_customer_value</t>
  </si>
  <si>
    <t>total_revenue</t>
  </si>
  <si>
    <t>One-Time Customer</t>
  </si>
  <si>
    <t>Repeat Customer</t>
  </si>
  <si>
    <t>avg_freight_per_order</t>
  </si>
  <si>
    <t>avg_freight_pct_of_product_value</t>
  </si>
  <si>
    <t>late_delivery_rate</t>
  </si>
  <si>
    <t>State</t>
  </si>
  <si>
    <t>Late Delivery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</si>
</sst>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6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1"/>
      <color rgb="FF000000"/>
      <name val="Calibri"/>
      <scheme val="minor"/>
    </font>
    <font>
      <sz val="10"/>
      <color theme="1"/>
      <name val="Calibri"/>
      <family val="2"/>
      <scheme val="minor"/>
    </font>
    <font>
      <b/>
      <sz val="24"/>
      <color rgb="FF000000"/>
      <name val="Calibri"/>
      <scheme val="minor"/>
    </font>
    <font>
      <b/>
      <sz val="28"/>
      <color rgb="FF000000"/>
      <name val="Calibri"/>
      <scheme val="minor"/>
    </font>
    <font>
      <b/>
      <i/>
      <u/>
      <sz val="26"/>
      <color rgb="FF000000"/>
      <name val="Calibri"/>
      <scheme val="minor"/>
    </font>
    <font>
      <b/>
      <sz val="15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  <xf numFmtId="0" fontId="23" fillId="33" borderId="12" xfId="0" applyFont="1" applyFill="1" applyBorder="1" applyAlignment="1">
      <alignment vertical="top"/>
    </xf>
    <xf numFmtId="0" fontId="23" fillId="33" borderId="0" xfId="0" applyFont="1" applyFill="1" applyAlignment="1">
      <alignment vertical="top"/>
    </xf>
    <xf numFmtId="0" fontId="23" fillId="33" borderId="13" xfId="0" applyFont="1" applyFill="1" applyBorder="1" applyAlignment="1">
      <alignment vertical="top"/>
    </xf>
    <xf numFmtId="0" fontId="23" fillId="33" borderId="14" xfId="0" applyFont="1" applyFill="1" applyBorder="1" applyAlignment="1">
      <alignment vertical="top"/>
    </xf>
    <xf numFmtId="0" fontId="23" fillId="33" borderId="17" xfId="0" applyFont="1" applyFill="1" applyBorder="1" applyAlignment="1">
      <alignment vertical="top"/>
    </xf>
    <xf numFmtId="0" fontId="23" fillId="33" borderId="15" xfId="0" applyFont="1" applyFill="1" applyBorder="1" applyAlignment="1">
      <alignment vertical="top"/>
    </xf>
    <xf numFmtId="0" fontId="16" fillId="0" borderId="0" xfId="0" applyFont="1"/>
    <xf numFmtId="0" fontId="27" fillId="35" borderId="16" xfId="0" applyFont="1" applyFill="1" applyBorder="1" applyAlignment="1">
      <alignment vertical="center" wrapText="1"/>
    </xf>
    <xf numFmtId="0" fontId="27" fillId="35" borderId="14" xfId="0" applyFont="1" applyFill="1" applyBorder="1" applyAlignment="1">
      <alignment vertical="center" wrapText="1"/>
    </xf>
    <xf numFmtId="0" fontId="27" fillId="35" borderId="17" xfId="0" applyFont="1" applyFill="1" applyBorder="1" applyAlignment="1">
      <alignment vertical="center" wrapText="1"/>
    </xf>
    <xf numFmtId="0" fontId="27" fillId="35" borderId="10" xfId="0" applyFont="1" applyFill="1" applyBorder="1" applyAlignment="1">
      <alignment vertical="center" wrapText="1"/>
    </xf>
    <xf numFmtId="0" fontId="24" fillId="34" borderId="18" xfId="0" applyFont="1" applyFill="1" applyBorder="1" applyAlignment="1">
      <alignment horizontal="center"/>
    </xf>
    <xf numFmtId="0" fontId="24" fillId="34" borderId="19" xfId="0" applyFont="1" applyFill="1" applyBorder="1" applyAlignment="1">
      <alignment horizontal="center"/>
    </xf>
    <xf numFmtId="0" fontId="24" fillId="34" borderId="20" xfId="0" applyFont="1" applyFill="1" applyBorder="1" applyAlignment="1">
      <alignment horizontal="center"/>
    </xf>
    <xf numFmtId="0" fontId="23" fillId="33" borderId="12" xfId="0" applyFont="1" applyFill="1" applyBorder="1" applyAlignment="1">
      <alignment horizontal="left" vertical="top" wrapText="1"/>
    </xf>
    <xf numFmtId="0" fontId="23" fillId="33" borderId="0" xfId="0" applyFont="1" applyFill="1" applyAlignment="1">
      <alignment horizontal="left" vertical="top" wrapText="1"/>
    </xf>
    <xf numFmtId="0" fontId="23" fillId="33" borderId="13" xfId="0" applyFont="1" applyFill="1" applyBorder="1" applyAlignment="1">
      <alignment horizontal="left" vertical="top" wrapText="1"/>
    </xf>
    <xf numFmtId="0" fontId="25" fillId="34" borderId="10" xfId="0" applyFont="1" applyFill="1" applyBorder="1" applyAlignment="1">
      <alignment horizontal="center" vertical="top" wrapText="1"/>
    </xf>
    <xf numFmtId="0" fontId="25" fillId="34" borderId="16" xfId="0" applyFont="1" applyFill="1" applyBorder="1" applyAlignment="1">
      <alignment horizontal="center" vertical="top" wrapText="1"/>
    </xf>
    <xf numFmtId="0" fontId="25" fillId="34" borderId="11" xfId="0" applyFont="1" applyFill="1" applyBorder="1" applyAlignment="1">
      <alignment horizontal="center" vertical="top" wrapText="1"/>
    </xf>
    <xf numFmtId="0" fontId="25" fillId="34" borderId="12" xfId="0" applyFont="1" applyFill="1" applyBorder="1" applyAlignment="1">
      <alignment horizontal="center" vertical="top" wrapText="1"/>
    </xf>
    <xf numFmtId="0" fontId="25" fillId="34" borderId="0" xfId="0" applyFont="1" applyFill="1" applyAlignment="1">
      <alignment horizontal="center" vertical="top" wrapText="1"/>
    </xf>
    <xf numFmtId="0" fontId="25" fillId="34" borderId="13" xfId="0" applyFont="1" applyFill="1" applyBorder="1" applyAlignment="1">
      <alignment horizontal="center" vertical="top" wrapText="1"/>
    </xf>
    <xf numFmtId="0" fontId="26" fillId="34" borderId="18" xfId="0" applyFont="1" applyFill="1" applyBorder="1" applyAlignment="1">
      <alignment horizontal="center"/>
    </xf>
    <xf numFmtId="0" fontId="18" fillId="34" borderId="19" xfId="0" applyFont="1" applyFill="1" applyBorder="1" applyAlignment="1">
      <alignment horizontal="center"/>
    </xf>
    <xf numFmtId="0" fontId="18" fillId="34" borderId="2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 vertical="top" wrapText="1"/>
    </xf>
    <xf numFmtId="0" fontId="23" fillId="33" borderId="16" xfId="0" applyFont="1" applyFill="1" applyBorder="1" applyAlignment="1">
      <alignment horizontal="left" vertical="top"/>
    </xf>
    <xf numFmtId="0" fontId="23" fillId="33" borderId="11" xfId="0" applyFont="1" applyFill="1" applyBorder="1" applyAlignment="1">
      <alignment horizontal="left" vertical="top"/>
    </xf>
    <xf numFmtId="0" fontId="23" fillId="33" borderId="12" xfId="0" applyFont="1" applyFill="1" applyBorder="1" applyAlignment="1">
      <alignment horizontal="left" vertical="top"/>
    </xf>
    <xf numFmtId="0" fontId="23" fillId="33" borderId="0" xfId="0" applyFont="1" applyFill="1" applyAlignment="1">
      <alignment horizontal="left" vertical="top"/>
    </xf>
    <xf numFmtId="0" fontId="23" fillId="33" borderId="13" xfId="0" applyFont="1" applyFill="1" applyBorder="1" applyAlignment="1">
      <alignment horizontal="left" vertical="top"/>
    </xf>
    <xf numFmtId="0" fontId="23" fillId="33" borderId="14" xfId="0" applyFont="1" applyFill="1" applyBorder="1" applyAlignment="1">
      <alignment horizontal="left" vertical="top"/>
    </xf>
    <xf numFmtId="0" fontId="23" fillId="33" borderId="17" xfId="0" applyFont="1" applyFill="1" applyBorder="1" applyAlignment="1">
      <alignment horizontal="left" vertical="top"/>
    </xf>
    <xf numFmtId="0" fontId="23" fillId="33" borderId="15" xfId="0" applyFont="1" applyFill="1" applyBorder="1" applyAlignment="1">
      <alignment horizontal="left" vertical="top"/>
    </xf>
    <xf numFmtId="0" fontId="21" fillId="33" borderId="10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1" fillId="33" borderId="14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horizontal="center" wrapText="1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10" fontId="22" fillId="33" borderId="10" xfId="0" applyNumberFormat="1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wrapText="1"/>
    </xf>
    <xf numFmtId="0" fontId="0" fillId="35" borderId="16" xfId="0" applyFill="1" applyBorder="1" applyAlignment="1">
      <alignment horizontal="center" wrapText="1"/>
    </xf>
    <xf numFmtId="0" fontId="0" fillId="35" borderId="11" xfId="0" applyFill="1" applyBorder="1" applyAlignment="1">
      <alignment horizontal="center" wrapText="1"/>
    </xf>
    <xf numFmtId="0" fontId="0" fillId="35" borderId="12" xfId="0" applyFill="1" applyBorder="1" applyAlignment="1">
      <alignment horizontal="center" wrapText="1"/>
    </xf>
    <xf numFmtId="0" fontId="0" fillId="35" borderId="0" xfId="0" applyFill="1" applyAlignment="1">
      <alignment horizontal="center" wrapText="1"/>
    </xf>
    <xf numFmtId="0" fontId="0" fillId="35" borderId="13" xfId="0" applyFill="1" applyBorder="1" applyAlignment="1">
      <alignment horizontal="center" wrapText="1"/>
    </xf>
    <xf numFmtId="0" fontId="22" fillId="35" borderId="16" xfId="0" applyFont="1" applyFill="1" applyBorder="1" applyAlignment="1">
      <alignment horizontal="center" vertical="center" wrapText="1"/>
    </xf>
    <xf numFmtId="0" fontId="27" fillId="35" borderId="16" xfId="0" applyFont="1" applyFill="1" applyBorder="1" applyAlignment="1">
      <alignment horizontal="center" vertical="center" wrapText="1"/>
    </xf>
    <xf numFmtId="0" fontId="27" fillId="35" borderId="11" xfId="0" applyFont="1" applyFill="1" applyBorder="1" applyAlignment="1">
      <alignment horizontal="center" vertical="center" wrapText="1"/>
    </xf>
    <xf numFmtId="0" fontId="27" fillId="35" borderId="17" xfId="0" applyFont="1" applyFill="1" applyBorder="1" applyAlignment="1">
      <alignment horizontal="center" vertical="center" wrapText="1"/>
    </xf>
    <xf numFmtId="0" fontId="27" fillId="35" borderId="15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7" fillId="35" borderId="14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Sales'!$A$2:$A$24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'Monthly Sales'!$C$2:$C$24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A-4B95-B405-5D0BDBA72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229576"/>
        <c:axId val="1354292232"/>
      </c:lineChart>
      <c:catAx>
        <c:axId val="132522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92232"/>
        <c:crosses val="autoZero"/>
        <c:auto val="1"/>
        <c:lblAlgn val="ctr"/>
        <c:lblOffset val="100"/>
        <c:noMultiLvlLbl val="0"/>
      </c:catAx>
      <c:valAx>
        <c:axId val="135429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22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'Product Categories'!$C$1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$1,233,131.72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41E-4744-B8AE-464C7BDDFF7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$1,166,176.98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41E-4744-B8AE-464C7BDDFF7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$1,023,434.76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41E-4744-B8AE-464C7BDDFF7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$954,852.55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41E-4744-B8AE-464C7BDDFF7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$888,724.61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41E-4744-B8AE-464C7BDDFF7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$711,927.69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41E-4744-B8AE-464C7BDDFF7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$615,628.69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41E-4744-B8AE-464C7BDDFF7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$610,204.1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41E-4744-B8AE-464C7BDDFF7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$578,966.65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041E-4744-B8AE-464C7BDDFF7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$471,286.48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041E-4744-B8AE-464C7BDDFF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Categories'!$A$2:$A$11</c:f>
              <c:strCache>
                <c:ptCount val="10"/>
                <c:pt idx="0">
                  <c:v>Health Beauty</c:v>
                </c:pt>
                <c:pt idx="1">
                  <c:v>Watches/Gifts</c:v>
                </c:pt>
                <c:pt idx="2">
                  <c:v>Bed/Bath</c:v>
                </c:pt>
                <c:pt idx="3">
                  <c:v>Sports Leisure</c:v>
                </c:pt>
                <c:pt idx="4">
                  <c:v>Computers Accessories</c:v>
                </c:pt>
                <c:pt idx="5">
                  <c:v>Furniture/Decor</c:v>
                </c:pt>
                <c:pt idx="6">
                  <c:v>Housewares</c:v>
                </c:pt>
                <c:pt idx="7">
                  <c:v>Cool 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'Product Categories'!$C$2:$C$11</c:f>
              <c:numCache>
                <c:formatCode>General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1E-4744-B8AE-464C7BDDFF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4839943"/>
        <c:axId val="1844841991"/>
      </c:barChart>
      <c:catAx>
        <c:axId val="18448399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841991"/>
        <c:crosses val="autoZero"/>
        <c:auto val="1"/>
        <c:lblAlgn val="ctr"/>
        <c:lblOffset val="100"/>
        <c:noMultiLvlLbl val="0"/>
      </c:catAx>
      <c:valAx>
        <c:axId val="18448419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839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Delivery Performance on Customer Reviews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'delivery reviews'!$C$1</c:f>
              <c:strCache>
                <c:ptCount val="1"/>
                <c:pt idx="0">
                  <c:v>avg_review_score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reviews'!$A$2:$A$3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'delivery reviews'!$C$2:$C$3</c:f>
              <c:numCache>
                <c:formatCode>General</c:formatCode>
                <c:ptCount val="2"/>
                <c:pt idx="0">
                  <c:v>2.57</c:v>
                </c:pt>
                <c:pt idx="1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C-4B08-9A47-C9310D9526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5543175"/>
        <c:axId val="1905545223"/>
      </c:barChart>
      <c:catAx>
        <c:axId val="1905543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45223"/>
        <c:crosses val="autoZero"/>
        <c:auto val="1"/>
        <c:lblAlgn val="ctr"/>
        <c:lblOffset val="100"/>
        <c:noMultiLvlLbl val="0"/>
      </c:catAx>
      <c:valAx>
        <c:axId val="190554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43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Cost vs Late Delivery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'Shipping Efficiency'!E1</c:f>
              <c:strCache>
                <c:ptCount val="1"/>
                <c:pt idx="0">
                  <c:v>late_delivery_rate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'Shipping Efficiency'!$D$2:$D$28</c:f>
              <c:numCache>
                <c:formatCode>General</c:formatCode>
                <c:ptCount val="27"/>
                <c:pt idx="0">
                  <c:v>60.07</c:v>
                </c:pt>
                <c:pt idx="1">
                  <c:v>57.9</c:v>
                </c:pt>
                <c:pt idx="2">
                  <c:v>53.72</c:v>
                </c:pt>
                <c:pt idx="3">
                  <c:v>51.03</c:v>
                </c:pt>
                <c:pt idx="4">
                  <c:v>50.41</c:v>
                </c:pt>
                <c:pt idx="5">
                  <c:v>50.29</c:v>
                </c:pt>
                <c:pt idx="6">
                  <c:v>49.84</c:v>
                </c:pt>
                <c:pt idx="7">
                  <c:v>49.4</c:v>
                </c:pt>
                <c:pt idx="8">
                  <c:v>49.4</c:v>
                </c:pt>
                <c:pt idx="9">
                  <c:v>46.83</c:v>
                </c:pt>
                <c:pt idx="10">
                  <c:v>46.28</c:v>
                </c:pt>
                <c:pt idx="11">
                  <c:v>46.2</c:v>
                </c:pt>
                <c:pt idx="12">
                  <c:v>43.37</c:v>
                </c:pt>
                <c:pt idx="13">
                  <c:v>42.67</c:v>
                </c:pt>
                <c:pt idx="14">
                  <c:v>38.6</c:v>
                </c:pt>
                <c:pt idx="15">
                  <c:v>38.549999999999997</c:v>
                </c:pt>
                <c:pt idx="16">
                  <c:v>37.65</c:v>
                </c:pt>
                <c:pt idx="17">
                  <c:v>34.619999999999997</c:v>
                </c:pt>
                <c:pt idx="18">
                  <c:v>34.229999999999997</c:v>
                </c:pt>
                <c:pt idx="19">
                  <c:v>33.909999999999997</c:v>
                </c:pt>
                <c:pt idx="20">
                  <c:v>33.69</c:v>
                </c:pt>
                <c:pt idx="21">
                  <c:v>33.47</c:v>
                </c:pt>
                <c:pt idx="22">
                  <c:v>33.43</c:v>
                </c:pt>
                <c:pt idx="23">
                  <c:v>33.020000000000003</c:v>
                </c:pt>
                <c:pt idx="24">
                  <c:v>31.58</c:v>
                </c:pt>
                <c:pt idx="25">
                  <c:v>31.56</c:v>
                </c:pt>
                <c:pt idx="26">
                  <c:v>25.15</c:v>
                </c:pt>
              </c:numCache>
            </c:numRef>
          </c:xVal>
          <c:yVal>
            <c:numRef>
              <c:f>'Shipping Efficiency'!$E$2:$E$28</c:f>
              <c:numCache>
                <c:formatCode>General</c:formatCode>
                <c:ptCount val="27"/>
                <c:pt idx="0">
                  <c:v>12.2</c:v>
                </c:pt>
                <c:pt idx="1">
                  <c:v>2.88</c:v>
                </c:pt>
                <c:pt idx="2">
                  <c:v>19.670000000000002</c:v>
                </c:pt>
                <c:pt idx="3">
                  <c:v>3.75</c:v>
                </c:pt>
                <c:pt idx="4">
                  <c:v>4.1399999999999997</c:v>
                </c:pt>
                <c:pt idx="5">
                  <c:v>15.97</c:v>
                </c:pt>
                <c:pt idx="6">
                  <c:v>11.03</c:v>
                </c:pt>
                <c:pt idx="7">
                  <c:v>10.76</c:v>
                </c:pt>
                <c:pt idx="8">
                  <c:v>12.77</c:v>
                </c:pt>
                <c:pt idx="9">
                  <c:v>23.93</c:v>
                </c:pt>
                <c:pt idx="10">
                  <c:v>12.37</c:v>
                </c:pt>
                <c:pt idx="11">
                  <c:v>15.22</c:v>
                </c:pt>
                <c:pt idx="12">
                  <c:v>10.8</c:v>
                </c:pt>
                <c:pt idx="13">
                  <c:v>15.32</c:v>
                </c:pt>
                <c:pt idx="14">
                  <c:v>4.4800000000000004</c:v>
                </c:pt>
                <c:pt idx="15">
                  <c:v>14.04</c:v>
                </c:pt>
                <c:pt idx="16">
                  <c:v>6.77</c:v>
                </c:pt>
                <c:pt idx="17">
                  <c:v>12.23</c:v>
                </c:pt>
                <c:pt idx="18">
                  <c:v>8.18</c:v>
                </c:pt>
                <c:pt idx="19">
                  <c:v>7.15</c:v>
                </c:pt>
                <c:pt idx="20">
                  <c:v>11.55</c:v>
                </c:pt>
                <c:pt idx="21">
                  <c:v>5</c:v>
                </c:pt>
                <c:pt idx="22">
                  <c:v>7.07</c:v>
                </c:pt>
                <c:pt idx="23">
                  <c:v>9.76</c:v>
                </c:pt>
                <c:pt idx="24">
                  <c:v>5.61</c:v>
                </c:pt>
                <c:pt idx="25">
                  <c:v>13.47</c:v>
                </c:pt>
                <c:pt idx="26">
                  <c:v>5.89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35-448D-86BF-9A7912A02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04551"/>
        <c:axId val="1562606599"/>
      </c:scatterChart>
      <c:valAx>
        <c:axId val="1562604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Freight Cost (% of Product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06599"/>
        <c:crosses val="autoZero"/>
        <c:crossBetween val="midCat"/>
      </c:valAx>
      <c:valAx>
        <c:axId val="156260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 Delivery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04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Customer Value: Repeat vs One-Time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Retention'!$D$1</c:f>
              <c:strCache>
                <c:ptCount val="1"/>
                <c:pt idx="0">
                  <c:v>avg_customer_value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Retention'!$A$2:$A$3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'Customer Retention'!$D$2:$D$3</c:f>
              <c:numCache>
                <c:formatCode>General</c:formatCode>
                <c:ptCount val="2"/>
                <c:pt idx="0">
                  <c:v>137.96</c:v>
                </c:pt>
                <c:pt idx="1">
                  <c:v>260.05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1-4B3B-9272-377A2432DB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3317767"/>
        <c:axId val="1785167879"/>
      </c:barChart>
      <c:catAx>
        <c:axId val="1643317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67879"/>
        <c:crosses val="autoZero"/>
        <c:auto val="1"/>
        <c:lblAlgn val="ctr"/>
        <c:lblOffset val="100"/>
        <c:noMultiLvlLbl val="0"/>
      </c:catAx>
      <c:valAx>
        <c:axId val="178516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7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 by Late Delivery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'Shipping Efficiency'!$P$18</c:f>
              <c:strCache>
                <c:ptCount val="1"/>
                <c:pt idx="0">
                  <c:v>Late Delivery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23.93%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87A-4518-B5E3-7D7B171C907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19.67%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87A-4518-B5E3-7D7B171C907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15.97%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87A-4518-B5E3-7D7B171C907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15.32%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87A-4518-B5E3-7D7B171C907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15.22%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87A-4518-B5E3-7D7B171C90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'Shipping Efficiency'!$O$19:$O$23</c:f>
              <c:strCache>
                <c:ptCount val="5"/>
                <c:pt idx="0">
                  <c:v>AL</c:v>
                </c:pt>
                <c:pt idx="1">
                  <c:v>MA</c:v>
                </c:pt>
                <c:pt idx="2">
                  <c:v>PI</c:v>
                </c:pt>
                <c:pt idx="3">
                  <c:v>CE</c:v>
                </c:pt>
                <c:pt idx="4">
                  <c:v>SE</c:v>
                </c:pt>
              </c:strCache>
            </c:strRef>
          </c:cat>
          <c:val>
            <c:numRef>
              <c:f>'Shipping Efficiency'!$P$19:$P$23</c:f>
              <c:numCache>
                <c:formatCode>General</c:formatCode>
                <c:ptCount val="5"/>
                <c:pt idx="0">
                  <c:v>23.93</c:v>
                </c:pt>
                <c:pt idx="1">
                  <c:v>19.670000000000002</c:v>
                </c:pt>
                <c:pt idx="2">
                  <c:v>15.97</c:v>
                </c:pt>
                <c:pt idx="3">
                  <c:v>15.32</c:v>
                </c:pt>
                <c:pt idx="4">
                  <c:v>15.22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7A-4518-B5E3-7D7B171C90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4953223"/>
        <c:axId val="1874955271"/>
      </c:barChart>
      <c:catAx>
        <c:axId val="1874953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5271"/>
        <c:crosses val="autoZero"/>
        <c:auto val="1"/>
        <c:lblAlgn val="ctr"/>
        <c:lblOffset val="100"/>
        <c:noMultiLvlLbl val="0"/>
      </c:catAx>
      <c:valAx>
        <c:axId val="187495527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3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Sales'!$A$2:$A$24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'Monthly Sales'!$C$2:$C$24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E-428E-B9BC-54DD0A97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229576"/>
        <c:axId val="1354292232"/>
      </c:lineChart>
      <c:catAx>
        <c:axId val="132522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92232"/>
        <c:crosses val="autoZero"/>
        <c:auto val="1"/>
        <c:lblAlgn val="ctr"/>
        <c:lblOffset val="100"/>
        <c:noMultiLvlLbl val="0"/>
      </c:catAx>
      <c:valAx>
        <c:axId val="135429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22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'Product Categories'!$C$1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$1,233,131.72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B4F-4743-9652-B56915AAC1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$1,166,176.98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B4F-4743-9652-B56915AAC1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$1,023,434.76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B4F-4743-9652-B56915AAC1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$954,852.55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B4F-4743-9652-B56915AAC14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$888,724.61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B4F-4743-9652-B56915AAC1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$711,927.69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B4F-4743-9652-B56915AAC14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$615,628.69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B4F-4743-9652-B56915AAC1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$610,204.1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B4F-4743-9652-B56915AAC14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$578,966.65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B4F-4743-9652-B56915AAC1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$471,286.48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B4F-4743-9652-B56915AAC1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Categories'!$A$2:$A$11</c:f>
              <c:strCache>
                <c:ptCount val="10"/>
                <c:pt idx="0">
                  <c:v>Health Beauty</c:v>
                </c:pt>
                <c:pt idx="1">
                  <c:v>Watches/Gifts</c:v>
                </c:pt>
                <c:pt idx="2">
                  <c:v>Bed/Bath</c:v>
                </c:pt>
                <c:pt idx="3">
                  <c:v>Sports Leisure</c:v>
                </c:pt>
                <c:pt idx="4">
                  <c:v>Computers Accessories</c:v>
                </c:pt>
                <c:pt idx="5">
                  <c:v>Furniture/Decor</c:v>
                </c:pt>
                <c:pt idx="6">
                  <c:v>Housewares</c:v>
                </c:pt>
                <c:pt idx="7">
                  <c:v>Cool 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'Product Categories'!$C$2:$C$11</c:f>
              <c:numCache>
                <c:formatCode>General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F-4743-9652-B56915AAC1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4839943"/>
        <c:axId val="1844841991"/>
      </c:barChart>
      <c:catAx>
        <c:axId val="18448399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841991"/>
        <c:crosses val="autoZero"/>
        <c:auto val="1"/>
        <c:lblAlgn val="ctr"/>
        <c:lblOffset val="100"/>
        <c:noMultiLvlLbl val="0"/>
      </c:catAx>
      <c:valAx>
        <c:axId val="18448419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839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Delivery Performance on Customer Reviews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'delivery reviews'!$C$1</c:f>
              <c:strCache>
                <c:ptCount val="1"/>
                <c:pt idx="0">
                  <c:v>avg_review_score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reviews'!$A$2:$A$3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'delivery reviews'!$C$2:$C$3</c:f>
              <c:numCache>
                <c:formatCode>General</c:formatCode>
                <c:ptCount val="2"/>
                <c:pt idx="0">
                  <c:v>2.57</c:v>
                </c:pt>
                <c:pt idx="1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1-4FBC-BB31-D9F7ED58FC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5543175"/>
        <c:axId val="1905545223"/>
      </c:barChart>
      <c:catAx>
        <c:axId val="1905543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45223"/>
        <c:crosses val="autoZero"/>
        <c:auto val="1"/>
        <c:lblAlgn val="ctr"/>
        <c:lblOffset val="100"/>
        <c:noMultiLvlLbl val="0"/>
      </c:catAx>
      <c:valAx>
        <c:axId val="190554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43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Customer Value: Repeat vs One-Time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Retention'!$D$1</c:f>
              <c:strCache>
                <c:ptCount val="1"/>
                <c:pt idx="0">
                  <c:v>avg_customer_value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Retention'!$A$2:$A$3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'Customer Retention'!$D$2:$D$3</c:f>
              <c:numCache>
                <c:formatCode>General</c:formatCode>
                <c:ptCount val="2"/>
                <c:pt idx="0">
                  <c:v>137.96</c:v>
                </c:pt>
                <c:pt idx="1">
                  <c:v>260.05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7-4983-9BFF-05ACC3BD4F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3317767"/>
        <c:axId val="1785167879"/>
      </c:barChart>
      <c:catAx>
        <c:axId val="1643317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67879"/>
        <c:crosses val="autoZero"/>
        <c:auto val="1"/>
        <c:lblAlgn val="ctr"/>
        <c:lblOffset val="100"/>
        <c:noMultiLvlLbl val="0"/>
      </c:catAx>
      <c:valAx>
        <c:axId val="178516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7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Customer Value: Repeat vs One-Time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Retention'!$D$1</c:f>
              <c:strCache>
                <c:ptCount val="1"/>
                <c:pt idx="0">
                  <c:v>avg_customer_value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Retention'!$A$2:$A$3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'Customer Retention'!$D$2:$D$3</c:f>
              <c:numCache>
                <c:formatCode>General</c:formatCode>
                <c:ptCount val="2"/>
                <c:pt idx="0">
                  <c:v>137.96</c:v>
                </c:pt>
                <c:pt idx="1">
                  <c:v>260.05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F-4A77-B3E6-4DD2ABBB78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3317767"/>
        <c:axId val="1785167879"/>
      </c:barChart>
      <c:catAx>
        <c:axId val="1643317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67879"/>
        <c:crosses val="autoZero"/>
        <c:auto val="1"/>
        <c:lblAlgn val="ctr"/>
        <c:lblOffset val="100"/>
        <c:noMultiLvlLbl val="0"/>
      </c:catAx>
      <c:valAx>
        <c:axId val="178516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7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Cost vs Late Delivery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'Shipping Efficiency'!E1</c:f>
              <c:strCache>
                <c:ptCount val="1"/>
                <c:pt idx="0">
                  <c:v>late_delivery_rate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'Shipping Efficiency'!$D$2:$D$28</c:f>
              <c:numCache>
                <c:formatCode>General</c:formatCode>
                <c:ptCount val="27"/>
                <c:pt idx="0">
                  <c:v>60.07</c:v>
                </c:pt>
                <c:pt idx="1">
                  <c:v>57.9</c:v>
                </c:pt>
                <c:pt idx="2">
                  <c:v>53.72</c:v>
                </c:pt>
                <c:pt idx="3">
                  <c:v>51.03</c:v>
                </c:pt>
                <c:pt idx="4">
                  <c:v>50.41</c:v>
                </c:pt>
                <c:pt idx="5">
                  <c:v>50.29</c:v>
                </c:pt>
                <c:pt idx="6">
                  <c:v>49.84</c:v>
                </c:pt>
                <c:pt idx="7">
                  <c:v>49.4</c:v>
                </c:pt>
                <c:pt idx="8">
                  <c:v>49.4</c:v>
                </c:pt>
                <c:pt idx="9">
                  <c:v>46.83</c:v>
                </c:pt>
                <c:pt idx="10">
                  <c:v>46.28</c:v>
                </c:pt>
                <c:pt idx="11">
                  <c:v>46.2</c:v>
                </c:pt>
                <c:pt idx="12">
                  <c:v>43.37</c:v>
                </c:pt>
                <c:pt idx="13">
                  <c:v>42.67</c:v>
                </c:pt>
                <c:pt idx="14">
                  <c:v>38.6</c:v>
                </c:pt>
                <c:pt idx="15">
                  <c:v>38.549999999999997</c:v>
                </c:pt>
                <c:pt idx="16">
                  <c:v>37.65</c:v>
                </c:pt>
                <c:pt idx="17">
                  <c:v>34.619999999999997</c:v>
                </c:pt>
                <c:pt idx="18">
                  <c:v>34.229999999999997</c:v>
                </c:pt>
                <c:pt idx="19">
                  <c:v>33.909999999999997</c:v>
                </c:pt>
                <c:pt idx="20">
                  <c:v>33.69</c:v>
                </c:pt>
                <c:pt idx="21">
                  <c:v>33.47</c:v>
                </c:pt>
                <c:pt idx="22">
                  <c:v>33.43</c:v>
                </c:pt>
                <c:pt idx="23">
                  <c:v>33.020000000000003</c:v>
                </c:pt>
                <c:pt idx="24">
                  <c:v>31.58</c:v>
                </c:pt>
                <c:pt idx="25">
                  <c:v>31.56</c:v>
                </c:pt>
                <c:pt idx="26">
                  <c:v>25.15</c:v>
                </c:pt>
              </c:numCache>
            </c:numRef>
          </c:xVal>
          <c:yVal>
            <c:numRef>
              <c:f>'Shipping Efficiency'!$E$2:$E$28</c:f>
              <c:numCache>
                <c:formatCode>General</c:formatCode>
                <c:ptCount val="27"/>
                <c:pt idx="0">
                  <c:v>12.2</c:v>
                </c:pt>
                <c:pt idx="1">
                  <c:v>2.88</c:v>
                </c:pt>
                <c:pt idx="2">
                  <c:v>19.670000000000002</c:v>
                </c:pt>
                <c:pt idx="3">
                  <c:v>3.75</c:v>
                </c:pt>
                <c:pt idx="4">
                  <c:v>4.1399999999999997</c:v>
                </c:pt>
                <c:pt idx="5">
                  <c:v>15.97</c:v>
                </c:pt>
                <c:pt idx="6">
                  <c:v>11.03</c:v>
                </c:pt>
                <c:pt idx="7">
                  <c:v>10.76</c:v>
                </c:pt>
                <c:pt idx="8">
                  <c:v>12.77</c:v>
                </c:pt>
                <c:pt idx="9">
                  <c:v>23.93</c:v>
                </c:pt>
                <c:pt idx="10">
                  <c:v>12.37</c:v>
                </c:pt>
                <c:pt idx="11">
                  <c:v>15.22</c:v>
                </c:pt>
                <c:pt idx="12">
                  <c:v>10.8</c:v>
                </c:pt>
                <c:pt idx="13">
                  <c:v>15.32</c:v>
                </c:pt>
                <c:pt idx="14">
                  <c:v>4.4800000000000004</c:v>
                </c:pt>
                <c:pt idx="15">
                  <c:v>14.04</c:v>
                </c:pt>
                <c:pt idx="16">
                  <c:v>6.77</c:v>
                </c:pt>
                <c:pt idx="17">
                  <c:v>12.23</c:v>
                </c:pt>
                <c:pt idx="18">
                  <c:v>8.18</c:v>
                </c:pt>
                <c:pt idx="19">
                  <c:v>7.15</c:v>
                </c:pt>
                <c:pt idx="20">
                  <c:v>11.55</c:v>
                </c:pt>
                <c:pt idx="21">
                  <c:v>5</c:v>
                </c:pt>
                <c:pt idx="22">
                  <c:v>7.07</c:v>
                </c:pt>
                <c:pt idx="23">
                  <c:v>9.76</c:v>
                </c:pt>
                <c:pt idx="24">
                  <c:v>5.61</c:v>
                </c:pt>
                <c:pt idx="25">
                  <c:v>13.47</c:v>
                </c:pt>
                <c:pt idx="26">
                  <c:v>5.89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BADE6C0D-24C3-4B36-B25E-35683A6E7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04551"/>
        <c:axId val="1562606599"/>
      </c:scatterChart>
      <c:valAx>
        <c:axId val="1562604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Freight Cost (% of Product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06599"/>
        <c:crosses val="autoZero"/>
        <c:crossBetween val="midCat"/>
      </c:valAx>
      <c:valAx>
        <c:axId val="156260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 Delivery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04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Cost vs Late Delivery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'Shipping Efficiency'!E1</c:f>
              <c:strCache>
                <c:ptCount val="1"/>
                <c:pt idx="0">
                  <c:v>late_delivery_rate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'Shipping Efficiency'!$D$2:$D$28</c:f>
              <c:numCache>
                <c:formatCode>General</c:formatCode>
                <c:ptCount val="27"/>
                <c:pt idx="0">
                  <c:v>60.07</c:v>
                </c:pt>
                <c:pt idx="1">
                  <c:v>57.9</c:v>
                </c:pt>
                <c:pt idx="2">
                  <c:v>53.72</c:v>
                </c:pt>
                <c:pt idx="3">
                  <c:v>51.03</c:v>
                </c:pt>
                <c:pt idx="4">
                  <c:v>50.41</c:v>
                </c:pt>
                <c:pt idx="5">
                  <c:v>50.29</c:v>
                </c:pt>
                <c:pt idx="6">
                  <c:v>49.84</c:v>
                </c:pt>
                <c:pt idx="7">
                  <c:v>49.4</c:v>
                </c:pt>
                <c:pt idx="8">
                  <c:v>49.4</c:v>
                </c:pt>
                <c:pt idx="9">
                  <c:v>46.83</c:v>
                </c:pt>
                <c:pt idx="10">
                  <c:v>46.28</c:v>
                </c:pt>
                <c:pt idx="11">
                  <c:v>46.2</c:v>
                </c:pt>
                <c:pt idx="12">
                  <c:v>43.37</c:v>
                </c:pt>
                <c:pt idx="13">
                  <c:v>42.67</c:v>
                </c:pt>
                <c:pt idx="14">
                  <c:v>38.6</c:v>
                </c:pt>
                <c:pt idx="15">
                  <c:v>38.549999999999997</c:v>
                </c:pt>
                <c:pt idx="16">
                  <c:v>37.65</c:v>
                </c:pt>
                <c:pt idx="17">
                  <c:v>34.619999999999997</c:v>
                </c:pt>
                <c:pt idx="18">
                  <c:v>34.229999999999997</c:v>
                </c:pt>
                <c:pt idx="19">
                  <c:v>33.909999999999997</c:v>
                </c:pt>
                <c:pt idx="20">
                  <c:v>33.69</c:v>
                </c:pt>
                <c:pt idx="21">
                  <c:v>33.47</c:v>
                </c:pt>
                <c:pt idx="22">
                  <c:v>33.43</c:v>
                </c:pt>
                <c:pt idx="23">
                  <c:v>33.020000000000003</c:v>
                </c:pt>
                <c:pt idx="24">
                  <c:v>31.58</c:v>
                </c:pt>
                <c:pt idx="25">
                  <c:v>31.56</c:v>
                </c:pt>
                <c:pt idx="26">
                  <c:v>25.15</c:v>
                </c:pt>
              </c:numCache>
            </c:numRef>
          </c:xVal>
          <c:yVal>
            <c:numRef>
              <c:f>'Shipping Efficiency'!$E$2:$E$28</c:f>
              <c:numCache>
                <c:formatCode>General</c:formatCode>
                <c:ptCount val="27"/>
                <c:pt idx="0">
                  <c:v>12.2</c:v>
                </c:pt>
                <c:pt idx="1">
                  <c:v>2.88</c:v>
                </c:pt>
                <c:pt idx="2">
                  <c:v>19.670000000000002</c:v>
                </c:pt>
                <c:pt idx="3">
                  <c:v>3.75</c:v>
                </c:pt>
                <c:pt idx="4">
                  <c:v>4.1399999999999997</c:v>
                </c:pt>
                <c:pt idx="5">
                  <c:v>15.97</c:v>
                </c:pt>
                <c:pt idx="6">
                  <c:v>11.03</c:v>
                </c:pt>
                <c:pt idx="7">
                  <c:v>10.76</c:v>
                </c:pt>
                <c:pt idx="8">
                  <c:v>12.77</c:v>
                </c:pt>
                <c:pt idx="9">
                  <c:v>23.93</c:v>
                </c:pt>
                <c:pt idx="10">
                  <c:v>12.37</c:v>
                </c:pt>
                <c:pt idx="11">
                  <c:v>15.22</c:v>
                </c:pt>
                <c:pt idx="12">
                  <c:v>10.8</c:v>
                </c:pt>
                <c:pt idx="13">
                  <c:v>15.32</c:v>
                </c:pt>
                <c:pt idx="14">
                  <c:v>4.4800000000000004</c:v>
                </c:pt>
                <c:pt idx="15">
                  <c:v>14.04</c:v>
                </c:pt>
                <c:pt idx="16">
                  <c:v>6.77</c:v>
                </c:pt>
                <c:pt idx="17">
                  <c:v>12.23</c:v>
                </c:pt>
                <c:pt idx="18">
                  <c:v>8.18</c:v>
                </c:pt>
                <c:pt idx="19">
                  <c:v>7.15</c:v>
                </c:pt>
                <c:pt idx="20">
                  <c:v>11.55</c:v>
                </c:pt>
                <c:pt idx="21">
                  <c:v>5</c:v>
                </c:pt>
                <c:pt idx="22">
                  <c:v>7.07</c:v>
                </c:pt>
                <c:pt idx="23">
                  <c:v>9.76</c:v>
                </c:pt>
                <c:pt idx="24">
                  <c:v>5.61</c:v>
                </c:pt>
                <c:pt idx="25">
                  <c:v>13.47</c:v>
                </c:pt>
                <c:pt idx="26">
                  <c:v>5.89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74-477C-89D9-BF7A4E969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04551"/>
        <c:axId val="1562606599"/>
      </c:scatterChart>
      <c:valAx>
        <c:axId val="1562604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Freight Cost (% of Product 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06599"/>
        <c:crosses val="autoZero"/>
        <c:crossBetween val="midCat"/>
      </c:valAx>
      <c:valAx>
        <c:axId val="156260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 Delivery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04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 by Late Delivery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'Shipping Efficiency'!$P$18</c:f>
              <c:strCache>
                <c:ptCount val="1"/>
                <c:pt idx="0">
                  <c:v>Late Delivery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23.93%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A09-41E4-ADDB-056F2B40D7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19.67%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A09-41E4-ADDB-056F2B40D7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15.97%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A09-41E4-ADDB-056F2B40D75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15.32%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A09-41E4-ADDB-056F2B40D75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15.22%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A09-41E4-ADDB-056F2B40D7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'Shipping Efficiency'!$O$19:$O$23</c:f>
              <c:strCache>
                <c:ptCount val="5"/>
                <c:pt idx="0">
                  <c:v>AL</c:v>
                </c:pt>
                <c:pt idx="1">
                  <c:v>MA</c:v>
                </c:pt>
                <c:pt idx="2">
                  <c:v>PI</c:v>
                </c:pt>
                <c:pt idx="3">
                  <c:v>CE</c:v>
                </c:pt>
                <c:pt idx="4">
                  <c:v>SE</c:v>
                </c:pt>
              </c:strCache>
            </c:strRef>
          </c:cat>
          <c:val>
            <c:numRef>
              <c:f>'Shipping Efficiency'!$P$19:$P$23</c:f>
              <c:numCache>
                <c:formatCode>General</c:formatCode>
                <c:ptCount val="5"/>
                <c:pt idx="0">
                  <c:v>23.93</c:v>
                </c:pt>
                <c:pt idx="1">
                  <c:v>19.670000000000002</c:v>
                </c:pt>
                <c:pt idx="2">
                  <c:v>15.97</c:v>
                </c:pt>
                <c:pt idx="3">
                  <c:v>15.32</c:v>
                </c:pt>
                <c:pt idx="4">
                  <c:v>15.22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9-41E4-ADDB-056F2B40D7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4953223"/>
        <c:axId val="1874955271"/>
      </c:barChart>
      <c:catAx>
        <c:axId val="1874953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5271"/>
        <c:crosses val="autoZero"/>
        <c:auto val="1"/>
        <c:lblAlgn val="ctr"/>
        <c:lblOffset val="100"/>
        <c:noMultiLvlLbl val="0"/>
      </c:catAx>
      <c:valAx>
        <c:axId val="187495527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3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171450</xdr:rowOff>
    </xdr:from>
    <xdr:to>
      <xdr:col>10</xdr:col>
      <xdr:colOff>600075</xdr:colOff>
      <xdr:row>22</xdr:row>
      <xdr:rowOff>180975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15D6FCE-9D09-4DCA-9921-EA134A863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104775</xdr:rowOff>
    </xdr:from>
    <xdr:to>
      <xdr:col>10</xdr:col>
      <xdr:colOff>590550</xdr:colOff>
      <xdr:row>41</xdr:row>
      <xdr:rowOff>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2D06931-0830-4EE6-8A1B-0B2C39479C37}"/>
            </a:ext>
            <a:ext uri="{147F2762-F138-4A5C-976F-8EAC2B608ADB}">
              <a16:predDERef xmlns:a16="http://schemas.microsoft.com/office/drawing/2014/main" pred="{515D6FCE-9D09-4DCA-9921-EA134A863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</xdr:colOff>
      <xdr:row>16</xdr:row>
      <xdr:rowOff>9525</xdr:rowOff>
    </xdr:from>
    <xdr:to>
      <xdr:col>19</xdr:col>
      <xdr:colOff>542925</xdr:colOff>
      <xdr:row>26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BD323A-3293-42D7-A371-6AE559650EC9}"/>
            </a:ext>
            <a:ext uri="{147F2762-F138-4A5C-976F-8EAC2B608ADB}">
              <a16:predDERef xmlns:a16="http://schemas.microsoft.com/office/drawing/2014/main" pred="{F2D06931-0830-4EE6-8A1B-0B2C39479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590550</xdr:colOff>
      <xdr:row>29</xdr:row>
      <xdr:rowOff>9525</xdr:rowOff>
    </xdr:from>
    <xdr:to>
      <xdr:col>15</xdr:col>
      <xdr:colOff>257175</xdr:colOff>
      <xdr:row>41</xdr:row>
      <xdr:rowOff>19050</xdr:rowOff>
    </xdr:to>
    <xdr:graphicFrame macro="">
      <xdr:nvGraphicFramePr>
        <xdr:cNvPr id="8" name="Chart 7" descr="Chart type: Scatter. 'late_delivery_rate' by 'avg_freight_pct_of_product_value'&#10;&#10;Description automatically generated">
          <a:extLst>
            <a:ext uri="{FF2B5EF4-FFF2-40B4-BE49-F238E27FC236}">
              <a16:creationId xmlns:a16="http://schemas.microsoft.com/office/drawing/2014/main" id="{3537E9C9-7A56-4BF7-BB00-79665FC40C03}"/>
            </a:ext>
            <a:ext uri="{147F2762-F138-4A5C-976F-8EAC2B608ADB}">
              <a16:predDERef xmlns:a16="http://schemas.microsoft.com/office/drawing/2014/main" pred="{E4BD323A-3293-42D7-A371-6AE559650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600075</xdr:colOff>
      <xdr:row>16</xdr:row>
      <xdr:rowOff>9525</xdr:rowOff>
    </xdr:from>
    <xdr:to>
      <xdr:col>16</xdr:col>
      <xdr:colOff>9525</xdr:colOff>
      <xdr:row>27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DABCF72-1D75-4E32-BE7E-7293F5E2CDA0}"/>
            </a:ext>
            <a:ext uri="{147F2762-F138-4A5C-976F-8EAC2B608ADB}">
              <a16:predDERef xmlns:a16="http://schemas.microsoft.com/office/drawing/2014/main" pred="{3537E9C9-7A56-4BF7-BB00-79665FC40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219075</xdr:colOff>
      <xdr:row>29</xdr:row>
      <xdr:rowOff>9525</xdr:rowOff>
    </xdr:from>
    <xdr:to>
      <xdr:col>19</xdr:col>
      <xdr:colOff>590550</xdr:colOff>
      <xdr:row>41</xdr:row>
      <xdr:rowOff>0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86826EB3-26FF-4539-9E05-9E8AD11DE19A}"/>
            </a:ext>
            <a:ext uri="{147F2762-F138-4A5C-976F-8EAC2B608ADB}">
              <a16:predDERef xmlns:a16="http://schemas.microsoft.com/office/drawing/2014/main" pred="{5DABCF72-1D75-4E32-BE7E-7293F5E2C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4</xdr:row>
      <xdr:rowOff>142875</xdr:rowOff>
    </xdr:from>
    <xdr:to>
      <xdr:col>15</xdr:col>
      <xdr:colOff>200025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019C8-7997-4993-2682-AE8449118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4</xdr:row>
      <xdr:rowOff>114300</xdr:rowOff>
    </xdr:from>
    <xdr:to>
      <xdr:col>12</xdr:col>
      <xdr:colOff>552450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9B79A3-C8BA-22E2-1923-077AD5472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4</xdr:row>
      <xdr:rowOff>152400</xdr:rowOff>
    </xdr:from>
    <xdr:to>
      <xdr:col>12</xdr:col>
      <xdr:colOff>447675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D8B9C-3A44-6AAF-CBE6-197C83546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3</xdr:row>
      <xdr:rowOff>133350</xdr:rowOff>
    </xdr:from>
    <xdr:to>
      <xdr:col>12</xdr:col>
      <xdr:colOff>447675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D9FB7-0F8E-8CBC-03CC-8D8C477D8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4</xdr:row>
      <xdr:rowOff>85725</xdr:rowOff>
    </xdr:from>
    <xdr:to>
      <xdr:col>12</xdr:col>
      <xdr:colOff>590550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0BD0E1-E454-42CB-8E05-D287EFAF2349}"/>
            </a:ext>
            <a:ext uri="{147F2762-F138-4A5C-976F-8EAC2B608ADB}">
              <a16:predDERef xmlns:a16="http://schemas.microsoft.com/office/drawing/2014/main" pred="{B59D9FB7-0F8E-8CBC-03CC-8D8C477D8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18</xdr:row>
      <xdr:rowOff>19050</xdr:rowOff>
    </xdr:from>
    <xdr:to>
      <xdr:col>13</xdr:col>
      <xdr:colOff>466725</xdr:colOff>
      <xdr:row>32</xdr:row>
      <xdr:rowOff>95250</xdr:rowOff>
    </xdr:to>
    <xdr:graphicFrame macro="">
      <xdr:nvGraphicFramePr>
        <xdr:cNvPr id="3" name="Chart 2" descr="Chart type: Scatter. 'late_delivery_rate' by 'avg_freight_pct_of_product_value'&#10;&#10;Description automatically generated">
          <a:extLst>
            <a:ext uri="{FF2B5EF4-FFF2-40B4-BE49-F238E27FC236}">
              <a16:creationId xmlns:a16="http://schemas.microsoft.com/office/drawing/2014/main" id="{A4B25DB6-B9E1-2765-D1C4-80041194512A}"/>
            </a:ext>
            <a:ext uri="{147F2762-F138-4A5C-976F-8EAC2B608ADB}">
              <a16:predDERef xmlns:a16="http://schemas.microsoft.com/office/drawing/2014/main" pred="{809D1209-077F-BCEA-CB69-1251D5436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18</xdr:row>
      <xdr:rowOff>161925</xdr:rowOff>
    </xdr:from>
    <xdr:to>
      <xdr:col>14</xdr:col>
      <xdr:colOff>0</xdr:colOff>
      <xdr:row>33</xdr:row>
      <xdr:rowOff>47625</xdr:rowOff>
    </xdr:to>
    <xdr:graphicFrame macro="">
      <xdr:nvGraphicFramePr>
        <xdr:cNvPr id="4" name="Chart 3" descr="Chart type: Scatter. 'late_delivery_rate' by 'avg_freight_pct_of_product_value'&#10;&#10;Description automatically generated">
          <a:extLst>
            <a:ext uri="{FF2B5EF4-FFF2-40B4-BE49-F238E27FC236}">
              <a16:creationId xmlns:a16="http://schemas.microsoft.com/office/drawing/2014/main" id="{4FC121A4-AD6B-4148-AD7F-15F398BB7B5B}"/>
            </a:ext>
            <a:ext uri="{147F2762-F138-4A5C-976F-8EAC2B608ADB}">
              <a16:predDERef xmlns:a16="http://schemas.microsoft.com/office/drawing/2014/main" pred="{A4B25DB6-B9E1-2765-D1C4-800411945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333375</xdr:colOff>
      <xdr:row>23</xdr:row>
      <xdr:rowOff>133350</xdr:rowOff>
    </xdr:from>
    <xdr:to>
      <xdr:col>22</xdr:col>
      <xdr:colOff>28575</xdr:colOff>
      <xdr:row>38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9B0116-31AA-4664-1F7B-346443F4C038}"/>
            </a:ext>
            <a:ext uri="{147F2762-F138-4A5C-976F-8EAC2B608ADB}">
              <a16:predDERef xmlns:a16="http://schemas.microsoft.com/office/drawing/2014/main" pred="{4FC121A4-AD6B-4148-AD7F-15F398BB7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1FD1-5060-4BCA-A18F-4ED95F81897A}">
  <dimension ref="A1:T29"/>
  <sheetViews>
    <sheetView tabSelected="1" workbookViewId="0">
      <selection activeCell="L5" sqref="L5"/>
    </sheetView>
  </sheetViews>
  <sheetFormatPr defaultRowHeight="15"/>
  <sheetData>
    <row r="1" spans="1:19" ht="33.7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  <c r="M1" s="15" t="s">
        <v>1</v>
      </c>
      <c r="N1" s="16"/>
      <c r="O1" s="16"/>
      <c r="P1" s="16"/>
      <c r="Q1" s="16"/>
      <c r="R1" s="16"/>
      <c r="S1" s="17"/>
    </row>
    <row r="2" spans="1:19" ht="15" customHeight="1">
      <c r="M2" s="18" t="s">
        <v>2</v>
      </c>
      <c r="N2" s="19"/>
      <c r="O2" s="19"/>
      <c r="P2" s="19"/>
      <c r="Q2" s="19"/>
      <c r="R2" s="19"/>
      <c r="S2" s="20"/>
    </row>
    <row r="3" spans="1:19" ht="15" customHeight="1">
      <c r="A3" s="39" t="s">
        <v>3</v>
      </c>
      <c r="B3" s="40"/>
      <c r="C3" s="2"/>
      <c r="D3" s="39" t="s">
        <v>4</v>
      </c>
      <c r="E3" s="45"/>
      <c r="G3" s="39" t="s">
        <v>5</v>
      </c>
      <c r="H3" s="45"/>
      <c r="J3" s="50" t="s">
        <v>6</v>
      </c>
      <c r="K3" s="45"/>
      <c r="M3" s="18"/>
      <c r="N3" s="19"/>
      <c r="O3" s="19"/>
      <c r="P3" s="19"/>
      <c r="Q3" s="19"/>
      <c r="R3" s="19"/>
      <c r="S3" s="20"/>
    </row>
    <row r="4" spans="1:19">
      <c r="A4" s="41"/>
      <c r="B4" s="42"/>
      <c r="D4" s="46"/>
      <c r="E4" s="47"/>
      <c r="G4" s="46"/>
      <c r="H4" s="47"/>
      <c r="J4" s="46"/>
      <c r="K4" s="47"/>
      <c r="M4" s="18"/>
      <c r="N4" s="19"/>
      <c r="O4" s="19"/>
      <c r="P4" s="19"/>
      <c r="Q4" s="19"/>
      <c r="R4" s="19"/>
      <c r="S4" s="20"/>
    </row>
    <row r="5" spans="1:19">
      <c r="A5" s="43"/>
      <c r="B5" s="44"/>
      <c r="D5" s="48"/>
      <c r="E5" s="49"/>
      <c r="G5" s="48"/>
      <c r="H5" s="49"/>
      <c r="J5" s="48"/>
      <c r="K5" s="49"/>
      <c r="M5" s="18"/>
      <c r="N5" s="19"/>
      <c r="O5" s="19"/>
      <c r="P5" s="19"/>
      <c r="Q5" s="19"/>
      <c r="R5" s="19"/>
      <c r="S5" s="20"/>
    </row>
    <row r="6" spans="1:19">
      <c r="A6" s="2"/>
      <c r="L6" s="3"/>
      <c r="M6" s="18"/>
      <c r="N6" s="19"/>
      <c r="O6" s="19"/>
      <c r="P6" s="19"/>
      <c r="Q6" s="19"/>
      <c r="R6" s="19"/>
      <c r="S6" s="20"/>
    </row>
    <row r="7" spans="1:19">
      <c r="M7" s="18"/>
      <c r="N7" s="19"/>
      <c r="O7" s="19"/>
      <c r="P7" s="19"/>
      <c r="Q7" s="19"/>
      <c r="R7" s="19"/>
      <c r="S7" s="20"/>
    </row>
    <row r="8" spans="1:19">
      <c r="M8" s="18"/>
      <c r="N8" s="19"/>
      <c r="O8" s="19"/>
      <c r="P8" s="19"/>
      <c r="Q8" s="19"/>
      <c r="R8" s="19"/>
      <c r="S8" s="20"/>
    </row>
    <row r="9" spans="1:19" ht="15" customHeight="1">
      <c r="M9" s="21" t="s">
        <v>7</v>
      </c>
      <c r="N9" s="22"/>
      <c r="O9" s="22"/>
      <c r="P9" s="22"/>
      <c r="Q9" s="22"/>
      <c r="R9" s="22"/>
      <c r="S9" s="23"/>
    </row>
    <row r="10" spans="1:19">
      <c r="M10" s="24"/>
      <c r="N10" s="25"/>
      <c r="O10" s="25"/>
      <c r="P10" s="25"/>
      <c r="Q10" s="25"/>
      <c r="R10" s="25"/>
      <c r="S10" s="26"/>
    </row>
    <row r="11" spans="1:19">
      <c r="M11" s="24"/>
      <c r="N11" s="25"/>
      <c r="O11" s="25"/>
      <c r="P11" s="25"/>
      <c r="Q11" s="25"/>
      <c r="R11" s="25"/>
      <c r="S11" s="26"/>
    </row>
    <row r="12" spans="1:19">
      <c r="M12" s="30" t="s">
        <v>8</v>
      </c>
      <c r="N12" s="31"/>
      <c r="O12" s="31"/>
      <c r="P12" s="31"/>
      <c r="Q12" s="31"/>
      <c r="R12" s="31"/>
      <c r="S12" s="32"/>
    </row>
    <row r="13" spans="1:19">
      <c r="M13" s="33"/>
      <c r="N13" s="34"/>
      <c r="O13" s="34"/>
      <c r="P13" s="34"/>
      <c r="Q13" s="34"/>
      <c r="R13" s="34"/>
      <c r="S13" s="35"/>
    </row>
    <row r="14" spans="1:19">
      <c r="M14" s="33"/>
      <c r="N14" s="34"/>
      <c r="O14" s="34"/>
      <c r="P14" s="34"/>
      <c r="Q14" s="34"/>
      <c r="R14" s="34"/>
      <c r="S14" s="35"/>
    </row>
    <row r="15" spans="1:19">
      <c r="M15" s="33"/>
      <c r="N15" s="34"/>
      <c r="O15" s="34"/>
      <c r="P15" s="34"/>
      <c r="Q15" s="34"/>
      <c r="R15" s="34"/>
      <c r="S15" s="35"/>
    </row>
    <row r="16" spans="1:19">
      <c r="M16" s="33"/>
      <c r="N16" s="34"/>
      <c r="O16" s="34"/>
      <c r="P16" s="34"/>
      <c r="Q16" s="34"/>
      <c r="R16" s="34"/>
      <c r="S16" s="35"/>
    </row>
    <row r="17" spans="6:20">
      <c r="M17" s="33"/>
      <c r="N17" s="34"/>
      <c r="O17" s="34"/>
      <c r="P17" s="34"/>
      <c r="Q17" s="34"/>
      <c r="R17" s="34"/>
      <c r="S17" s="35"/>
    </row>
    <row r="18" spans="6:20">
      <c r="M18" s="33"/>
      <c r="N18" s="34"/>
      <c r="O18" s="34"/>
      <c r="P18" s="34"/>
      <c r="Q18" s="34"/>
      <c r="R18" s="34"/>
      <c r="S18" s="35"/>
    </row>
    <row r="19" spans="6:20">
      <c r="M19" s="33"/>
      <c r="N19" s="34"/>
      <c r="O19" s="34"/>
      <c r="P19" s="34"/>
      <c r="Q19" s="34"/>
      <c r="R19" s="34"/>
      <c r="S19" s="35"/>
    </row>
    <row r="20" spans="6:20">
      <c r="M20" s="36"/>
      <c r="N20" s="37"/>
      <c r="O20" s="37"/>
      <c r="P20" s="37"/>
      <c r="Q20" s="37"/>
      <c r="R20" s="37"/>
      <c r="S20" s="38"/>
    </row>
    <row r="21" spans="6:20">
      <c r="M21" s="4"/>
      <c r="N21" s="5"/>
      <c r="O21" s="5"/>
      <c r="P21" s="5"/>
      <c r="Q21" s="5"/>
      <c r="R21" s="5"/>
      <c r="S21" s="6"/>
    </row>
    <row r="22" spans="6:20">
      <c r="M22" s="4"/>
      <c r="N22" s="5"/>
      <c r="O22" s="5"/>
      <c r="P22" s="5"/>
      <c r="Q22" s="5"/>
      <c r="R22" s="5"/>
      <c r="S22" s="6"/>
    </row>
    <row r="23" spans="6:20">
      <c r="M23" s="7"/>
      <c r="N23" s="8"/>
      <c r="O23" s="8"/>
      <c r="P23" s="8"/>
      <c r="Q23" s="8"/>
      <c r="R23" s="8"/>
      <c r="S23" s="9"/>
    </row>
    <row r="26" spans="6:20">
      <c r="L26" s="51" t="s">
        <v>9</v>
      </c>
      <c r="M26" s="52"/>
      <c r="N26" s="52"/>
      <c r="O26" s="52"/>
      <c r="P26" s="53"/>
    </row>
    <row r="27" spans="6:20">
      <c r="L27" s="54"/>
      <c r="M27" s="55"/>
      <c r="N27" s="55"/>
      <c r="O27" s="55"/>
      <c r="P27" s="56"/>
    </row>
    <row r="28" spans="6:20" ht="15" customHeight="1">
      <c r="F28" s="14" t="s">
        <v>10</v>
      </c>
      <c r="G28" s="11"/>
      <c r="H28" s="11"/>
      <c r="I28" s="11"/>
      <c r="J28" s="11"/>
      <c r="K28" s="11"/>
      <c r="L28" s="62" t="s">
        <v>9</v>
      </c>
      <c r="M28" s="58"/>
      <c r="N28" s="58"/>
      <c r="O28" s="58"/>
      <c r="P28" s="59"/>
      <c r="Q28" s="57" t="s">
        <v>10</v>
      </c>
      <c r="R28" s="58"/>
      <c r="S28" s="58"/>
      <c r="T28" s="59"/>
    </row>
    <row r="29" spans="6:20" ht="15" customHeight="1">
      <c r="F29" s="12"/>
      <c r="G29" s="13"/>
      <c r="H29" s="13"/>
      <c r="I29" s="13"/>
      <c r="J29" s="13"/>
      <c r="K29" s="13"/>
      <c r="L29" s="63"/>
      <c r="M29" s="60"/>
      <c r="N29" s="60"/>
      <c r="O29" s="60"/>
      <c r="P29" s="61"/>
      <c r="Q29" s="60"/>
      <c r="R29" s="60"/>
      <c r="S29" s="60"/>
      <c r="T29" s="61"/>
    </row>
  </sheetData>
  <mergeCells count="12">
    <mergeCell ref="L26:P27"/>
    <mergeCell ref="Q28:T29"/>
    <mergeCell ref="L28:P29"/>
    <mergeCell ref="M1:S1"/>
    <mergeCell ref="M2:S8"/>
    <mergeCell ref="M9:S11"/>
    <mergeCell ref="A1:K1"/>
    <mergeCell ref="M12:S20"/>
    <mergeCell ref="A3:B5"/>
    <mergeCell ref="D3:E5"/>
    <mergeCell ref="G3:H5"/>
    <mergeCell ref="J3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8C51-6E3D-4CAC-B749-194DA9D43E20}">
  <dimension ref="A1:C24"/>
  <sheetViews>
    <sheetView workbookViewId="0">
      <selection activeCell="G9" sqref="G9"/>
    </sheetView>
  </sheetViews>
  <sheetFormatPr defaultRowHeight="15"/>
  <sheetData>
    <row r="1" spans="1:3">
      <c r="A1" t="s">
        <v>11</v>
      </c>
      <c r="B1" t="s">
        <v>12</v>
      </c>
      <c r="C1" t="s">
        <v>13</v>
      </c>
    </row>
    <row r="2" spans="1:3">
      <c r="A2" t="s">
        <v>14</v>
      </c>
      <c r="B2">
        <v>1</v>
      </c>
      <c r="C2">
        <v>134.97</v>
      </c>
    </row>
    <row r="3" spans="1:3">
      <c r="A3" t="s">
        <v>15</v>
      </c>
      <c r="B3">
        <v>265</v>
      </c>
      <c r="C3">
        <v>40325.11</v>
      </c>
    </row>
    <row r="4" spans="1:3">
      <c r="A4" t="s">
        <v>16</v>
      </c>
      <c r="B4">
        <v>1</v>
      </c>
      <c r="C4">
        <v>10.9</v>
      </c>
    </row>
    <row r="5" spans="1:3">
      <c r="A5" t="s">
        <v>17</v>
      </c>
      <c r="B5">
        <v>750</v>
      </c>
      <c r="C5">
        <v>111798.36</v>
      </c>
    </row>
    <row r="6" spans="1:3">
      <c r="A6" t="s">
        <v>18</v>
      </c>
      <c r="B6">
        <v>1653</v>
      </c>
      <c r="C6">
        <v>234223.4</v>
      </c>
    </row>
    <row r="7" spans="1:3">
      <c r="A7" t="s">
        <v>19</v>
      </c>
      <c r="B7">
        <v>2546</v>
      </c>
      <c r="C7">
        <v>359198.85</v>
      </c>
    </row>
    <row r="8" spans="1:3">
      <c r="A8" t="s">
        <v>20</v>
      </c>
      <c r="B8">
        <v>2303</v>
      </c>
      <c r="C8">
        <v>340669.68</v>
      </c>
    </row>
    <row r="9" spans="1:3">
      <c r="A9" t="s">
        <v>21</v>
      </c>
      <c r="B9">
        <v>3546</v>
      </c>
      <c r="C9">
        <v>489338.25</v>
      </c>
    </row>
    <row r="10" spans="1:3">
      <c r="A10" t="s">
        <v>22</v>
      </c>
      <c r="B10">
        <v>3135</v>
      </c>
      <c r="C10">
        <v>421923.37</v>
      </c>
    </row>
    <row r="11" spans="1:3">
      <c r="A11" t="s">
        <v>23</v>
      </c>
      <c r="B11">
        <v>3872</v>
      </c>
      <c r="C11">
        <v>481604.52</v>
      </c>
    </row>
    <row r="12" spans="1:3">
      <c r="A12" t="s">
        <v>24</v>
      </c>
      <c r="B12">
        <v>4193</v>
      </c>
      <c r="C12">
        <v>554699.69999999995</v>
      </c>
    </row>
    <row r="13" spans="1:3">
      <c r="A13" t="s">
        <v>25</v>
      </c>
      <c r="B13">
        <v>4150</v>
      </c>
      <c r="C13">
        <v>607399.67000000004</v>
      </c>
    </row>
    <row r="14" spans="1:3">
      <c r="A14" t="s">
        <v>26</v>
      </c>
      <c r="B14">
        <v>4478</v>
      </c>
      <c r="C14">
        <v>648247.65</v>
      </c>
    </row>
    <row r="15" spans="1:3">
      <c r="A15" t="s">
        <v>27</v>
      </c>
      <c r="B15">
        <v>7289</v>
      </c>
      <c r="C15">
        <v>987765.37</v>
      </c>
    </row>
    <row r="16" spans="1:3">
      <c r="A16" t="s">
        <v>28</v>
      </c>
      <c r="B16">
        <v>5513</v>
      </c>
      <c r="C16">
        <v>726033.19</v>
      </c>
    </row>
    <row r="17" spans="1:3">
      <c r="A17" t="s">
        <v>29</v>
      </c>
      <c r="B17">
        <v>7069</v>
      </c>
      <c r="C17">
        <v>924645</v>
      </c>
    </row>
    <row r="18" spans="1:3">
      <c r="A18" t="s">
        <v>30</v>
      </c>
      <c r="B18">
        <v>6555</v>
      </c>
      <c r="C18">
        <v>826437.13</v>
      </c>
    </row>
    <row r="19" spans="1:3">
      <c r="A19" t="s">
        <v>31</v>
      </c>
      <c r="B19">
        <v>7003</v>
      </c>
      <c r="C19">
        <v>953356.25</v>
      </c>
    </row>
    <row r="20" spans="1:3">
      <c r="A20" t="s">
        <v>32</v>
      </c>
      <c r="B20">
        <v>6798</v>
      </c>
      <c r="C20">
        <v>973534.09</v>
      </c>
    </row>
    <row r="21" spans="1:3">
      <c r="A21" t="s">
        <v>33</v>
      </c>
      <c r="B21">
        <v>6749</v>
      </c>
      <c r="C21">
        <v>977544.69</v>
      </c>
    </row>
    <row r="22" spans="1:3">
      <c r="A22" t="s">
        <v>34</v>
      </c>
      <c r="B22">
        <v>6099</v>
      </c>
      <c r="C22">
        <v>856077.86</v>
      </c>
    </row>
    <row r="23" spans="1:3">
      <c r="A23" t="s">
        <v>35</v>
      </c>
      <c r="B23">
        <v>6159</v>
      </c>
      <c r="C23">
        <v>867953.46</v>
      </c>
    </row>
    <row r="24" spans="1:3">
      <c r="A24" t="s">
        <v>36</v>
      </c>
      <c r="B24">
        <v>6351</v>
      </c>
      <c r="C24">
        <v>838576.64000000001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706B-8F17-4984-A897-56BD4DDF9EE2}">
  <dimension ref="A1:D28"/>
  <sheetViews>
    <sheetView workbookViewId="0">
      <selection activeCell="E14" sqref="E14"/>
    </sheetView>
  </sheetViews>
  <sheetFormatPr defaultRowHeight="15"/>
  <sheetData>
    <row r="1" spans="1:4" ht="30.75">
      <c r="A1" s="1" t="s">
        <v>37</v>
      </c>
      <c r="B1" t="s">
        <v>12</v>
      </c>
      <c r="C1" t="s">
        <v>13</v>
      </c>
      <c r="D1" t="s">
        <v>38</v>
      </c>
    </row>
    <row r="2" spans="1:4">
      <c r="A2" t="s">
        <v>39</v>
      </c>
      <c r="B2">
        <v>40501</v>
      </c>
      <c r="C2">
        <v>5067633.16</v>
      </c>
      <c r="D2">
        <v>125.12</v>
      </c>
    </row>
    <row r="3" spans="1:4">
      <c r="A3" t="s">
        <v>40</v>
      </c>
      <c r="B3">
        <v>12350</v>
      </c>
      <c r="C3">
        <v>1759651.13</v>
      </c>
      <c r="D3">
        <v>142.47999999999999</v>
      </c>
    </row>
    <row r="4" spans="1:4">
      <c r="A4" t="s">
        <v>41</v>
      </c>
      <c r="B4">
        <v>11354</v>
      </c>
      <c r="C4">
        <v>1552481.83</v>
      </c>
      <c r="D4">
        <v>136.72999999999999</v>
      </c>
    </row>
    <row r="5" spans="1:4">
      <c r="A5" t="s">
        <v>42</v>
      </c>
      <c r="B5">
        <v>5345</v>
      </c>
      <c r="C5">
        <v>728897.47</v>
      </c>
      <c r="D5">
        <v>136.37</v>
      </c>
    </row>
    <row r="6" spans="1:4">
      <c r="A6" t="s">
        <v>43</v>
      </c>
      <c r="B6">
        <v>4923</v>
      </c>
      <c r="C6">
        <v>666063.51</v>
      </c>
      <c r="D6">
        <v>135.30000000000001</v>
      </c>
    </row>
    <row r="7" spans="1:4">
      <c r="A7" t="s">
        <v>44</v>
      </c>
      <c r="B7">
        <v>3546</v>
      </c>
      <c r="C7">
        <v>507012.13</v>
      </c>
      <c r="D7">
        <v>142.97999999999999</v>
      </c>
    </row>
    <row r="8" spans="1:4">
      <c r="A8" t="s">
        <v>45</v>
      </c>
      <c r="B8">
        <v>3256</v>
      </c>
      <c r="C8">
        <v>493584.14</v>
      </c>
      <c r="D8">
        <v>151.59</v>
      </c>
    </row>
    <row r="9" spans="1:4">
      <c r="A9" t="s">
        <v>46</v>
      </c>
      <c r="B9">
        <v>2080</v>
      </c>
      <c r="C9">
        <v>296498.40999999997</v>
      </c>
      <c r="D9">
        <v>142.55000000000001</v>
      </c>
    </row>
    <row r="10" spans="1:4">
      <c r="A10" t="s">
        <v>47</v>
      </c>
      <c r="B10">
        <v>1957</v>
      </c>
      <c r="C10">
        <v>282836.7</v>
      </c>
      <c r="D10">
        <v>144.53</v>
      </c>
    </row>
    <row r="11" spans="1:4">
      <c r="A11" t="s">
        <v>48</v>
      </c>
      <c r="B11">
        <v>1995</v>
      </c>
      <c r="C11">
        <v>268643.45</v>
      </c>
      <c r="D11">
        <v>134.66</v>
      </c>
    </row>
    <row r="12" spans="1:4">
      <c r="A12" t="s">
        <v>49</v>
      </c>
      <c r="B12">
        <v>1593</v>
      </c>
      <c r="C12">
        <v>251889.49</v>
      </c>
      <c r="D12">
        <v>158.12</v>
      </c>
    </row>
    <row r="13" spans="1:4">
      <c r="A13" t="s">
        <v>50</v>
      </c>
      <c r="B13">
        <v>1279</v>
      </c>
      <c r="C13">
        <v>219757.38</v>
      </c>
      <c r="D13">
        <v>171.82</v>
      </c>
    </row>
    <row r="14" spans="1:4">
      <c r="A14" t="s">
        <v>51</v>
      </c>
      <c r="B14">
        <v>946</v>
      </c>
      <c r="C14">
        <v>174470.59</v>
      </c>
      <c r="D14">
        <v>184.43</v>
      </c>
    </row>
    <row r="15" spans="1:4">
      <c r="A15" t="s">
        <v>52</v>
      </c>
      <c r="B15">
        <v>886</v>
      </c>
      <c r="C15">
        <v>152191.62</v>
      </c>
      <c r="D15">
        <v>171.77</v>
      </c>
    </row>
    <row r="16" spans="1:4">
      <c r="A16" t="s">
        <v>53</v>
      </c>
      <c r="B16">
        <v>717</v>
      </c>
      <c r="C16">
        <v>117009.38</v>
      </c>
      <c r="D16">
        <v>163.19</v>
      </c>
    </row>
    <row r="17" spans="1:4">
      <c r="A17" t="s">
        <v>54</v>
      </c>
      <c r="B17">
        <v>701</v>
      </c>
      <c r="C17">
        <v>115429.97</v>
      </c>
      <c r="D17">
        <v>164.66</v>
      </c>
    </row>
    <row r="18" spans="1:4">
      <c r="A18" t="s">
        <v>55</v>
      </c>
      <c r="B18">
        <v>517</v>
      </c>
      <c r="C18">
        <v>112586.82</v>
      </c>
      <c r="D18">
        <v>217.77</v>
      </c>
    </row>
    <row r="19" spans="1:4">
      <c r="A19" t="s">
        <v>56</v>
      </c>
      <c r="B19">
        <v>476</v>
      </c>
      <c r="C19">
        <v>84721</v>
      </c>
      <c r="D19">
        <v>177.99</v>
      </c>
    </row>
    <row r="20" spans="1:4">
      <c r="A20" t="s">
        <v>57</v>
      </c>
      <c r="B20">
        <v>474</v>
      </c>
      <c r="C20">
        <v>82105.66</v>
      </c>
      <c r="D20">
        <v>173.22</v>
      </c>
    </row>
    <row r="21" spans="1:4">
      <c r="A21" t="s">
        <v>58</v>
      </c>
      <c r="B21">
        <v>397</v>
      </c>
      <c r="C21">
        <v>78855.72</v>
      </c>
      <c r="D21">
        <v>198.63</v>
      </c>
    </row>
    <row r="22" spans="1:4">
      <c r="A22" t="s">
        <v>59</v>
      </c>
      <c r="B22">
        <v>335</v>
      </c>
      <c r="C22">
        <v>56574.19</v>
      </c>
      <c r="D22">
        <v>168.88</v>
      </c>
    </row>
    <row r="23" spans="1:4">
      <c r="A23" t="s">
        <v>60</v>
      </c>
      <c r="B23">
        <v>274</v>
      </c>
      <c r="C23">
        <v>48402.51</v>
      </c>
      <c r="D23">
        <v>176.65</v>
      </c>
    </row>
    <row r="24" spans="1:4">
      <c r="A24" t="s">
        <v>61</v>
      </c>
      <c r="B24">
        <v>243</v>
      </c>
      <c r="C24">
        <v>45682.76</v>
      </c>
      <c r="D24">
        <v>187.99</v>
      </c>
    </row>
    <row r="25" spans="1:4">
      <c r="A25" t="s">
        <v>62</v>
      </c>
      <c r="B25">
        <v>145</v>
      </c>
      <c r="C25">
        <v>22155.84</v>
      </c>
      <c r="D25">
        <v>152.80000000000001</v>
      </c>
    </row>
    <row r="26" spans="1:4">
      <c r="A26" t="s">
        <v>63</v>
      </c>
      <c r="B26">
        <v>80</v>
      </c>
      <c r="C26">
        <v>15930.97</v>
      </c>
      <c r="D26">
        <v>199.14</v>
      </c>
    </row>
    <row r="27" spans="1:4">
      <c r="A27" t="s">
        <v>64</v>
      </c>
      <c r="B27">
        <v>67</v>
      </c>
      <c r="C27">
        <v>13374.81</v>
      </c>
      <c r="D27">
        <v>199.62</v>
      </c>
    </row>
    <row r="28" spans="1:4">
      <c r="A28" t="s">
        <v>65</v>
      </c>
      <c r="B28">
        <v>41</v>
      </c>
      <c r="C28">
        <v>7057.47</v>
      </c>
      <c r="D28">
        <v>172.13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9AFD-785F-4504-9EED-ECB5481B617F}">
  <dimension ref="A1:D16"/>
  <sheetViews>
    <sheetView workbookViewId="0">
      <selection activeCell="K1" sqref="K1"/>
    </sheetView>
  </sheetViews>
  <sheetFormatPr defaultRowHeight="15"/>
  <sheetData>
    <row r="1" spans="1:4">
      <c r="A1" t="s">
        <v>66</v>
      </c>
      <c r="B1" t="s">
        <v>12</v>
      </c>
      <c r="C1" t="s">
        <v>13</v>
      </c>
      <c r="D1" t="s">
        <v>67</v>
      </c>
    </row>
    <row r="2" spans="1:4">
      <c r="A2" t="s">
        <v>68</v>
      </c>
      <c r="B2">
        <v>8647</v>
      </c>
      <c r="C2">
        <v>1233131.72</v>
      </c>
      <c r="D2">
        <v>130.28</v>
      </c>
    </row>
    <row r="3" spans="1:4">
      <c r="A3" t="s">
        <v>69</v>
      </c>
      <c r="B3">
        <v>5495</v>
      </c>
      <c r="C3">
        <v>1166176.98</v>
      </c>
      <c r="D3">
        <v>199.04</v>
      </c>
    </row>
    <row r="4" spans="1:4">
      <c r="A4" t="s">
        <v>70</v>
      </c>
      <c r="B4">
        <v>9272</v>
      </c>
      <c r="C4">
        <v>1023434.76</v>
      </c>
      <c r="D4">
        <v>93.44</v>
      </c>
    </row>
    <row r="5" spans="1:4">
      <c r="A5" t="s">
        <v>71</v>
      </c>
      <c r="B5">
        <v>7530</v>
      </c>
      <c r="C5">
        <v>954852.55</v>
      </c>
      <c r="D5">
        <v>113.25</v>
      </c>
    </row>
    <row r="6" spans="1:4">
      <c r="A6" t="s">
        <v>72</v>
      </c>
      <c r="B6">
        <v>6530</v>
      </c>
      <c r="C6">
        <v>888724.61</v>
      </c>
      <c r="D6">
        <v>116.26</v>
      </c>
    </row>
    <row r="7" spans="1:4">
      <c r="A7" t="s">
        <v>73</v>
      </c>
      <c r="B7">
        <v>6307</v>
      </c>
      <c r="C7">
        <v>711927.69</v>
      </c>
      <c r="D7">
        <v>87.25</v>
      </c>
    </row>
    <row r="8" spans="1:4">
      <c r="A8" t="s">
        <v>74</v>
      </c>
      <c r="B8">
        <v>5743</v>
      </c>
      <c r="C8">
        <v>615628.68999999994</v>
      </c>
      <c r="D8">
        <v>90.6</v>
      </c>
    </row>
    <row r="9" spans="1:4">
      <c r="A9" t="s">
        <v>75</v>
      </c>
      <c r="B9">
        <v>3559</v>
      </c>
      <c r="C9">
        <v>610204.1</v>
      </c>
      <c r="D9">
        <v>164.12</v>
      </c>
    </row>
    <row r="10" spans="1:4">
      <c r="A10" t="s">
        <v>76</v>
      </c>
      <c r="B10">
        <v>3810</v>
      </c>
      <c r="C10">
        <v>578966.65</v>
      </c>
      <c r="D10">
        <v>139.85</v>
      </c>
    </row>
    <row r="11" spans="1:4">
      <c r="A11" t="s">
        <v>77</v>
      </c>
      <c r="B11">
        <v>3804</v>
      </c>
      <c r="C11">
        <v>471286.48</v>
      </c>
      <c r="D11">
        <v>116.94</v>
      </c>
    </row>
    <row r="12" spans="1:4">
      <c r="A12" t="s">
        <v>78</v>
      </c>
      <c r="B12">
        <v>3448</v>
      </c>
      <c r="C12">
        <v>470495.28</v>
      </c>
      <c r="D12">
        <v>110.24</v>
      </c>
    </row>
    <row r="13" spans="1:4">
      <c r="A13" t="s">
        <v>79</v>
      </c>
      <c r="B13">
        <v>2809</v>
      </c>
      <c r="C13">
        <v>400421.84</v>
      </c>
      <c r="D13">
        <v>134.28</v>
      </c>
    </row>
    <row r="14" spans="1:4">
      <c r="A14" t="s">
        <v>80</v>
      </c>
      <c r="B14">
        <v>3086</v>
      </c>
      <c r="C14">
        <v>390144.65</v>
      </c>
      <c r="D14">
        <v>116.81</v>
      </c>
    </row>
    <row r="15" spans="1:4">
      <c r="A15" t="s">
        <v>81</v>
      </c>
      <c r="B15">
        <v>4093</v>
      </c>
      <c r="C15">
        <v>309860.23</v>
      </c>
      <c r="D15">
        <v>69.95</v>
      </c>
    </row>
    <row r="16" spans="1:4">
      <c r="A16" t="s">
        <v>82</v>
      </c>
      <c r="B16">
        <v>1254</v>
      </c>
      <c r="C16">
        <v>268154.31</v>
      </c>
      <c r="D16">
        <v>160.76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C5BB-365E-4DB6-8227-AF8EB7A662CD}">
  <dimension ref="A1:D3"/>
  <sheetViews>
    <sheetView workbookViewId="0">
      <selection activeCell="G20" sqref="G20"/>
    </sheetView>
  </sheetViews>
  <sheetFormatPr defaultRowHeight="15"/>
  <sheetData>
    <row r="1" spans="1:4">
      <c r="A1" t="s">
        <v>83</v>
      </c>
      <c r="B1" t="s">
        <v>12</v>
      </c>
      <c r="C1" t="s">
        <v>84</v>
      </c>
      <c r="D1" t="s">
        <v>85</v>
      </c>
    </row>
    <row r="2" spans="1:4">
      <c r="A2" t="s">
        <v>86</v>
      </c>
      <c r="B2">
        <v>7661</v>
      </c>
      <c r="C2">
        <v>2.57</v>
      </c>
      <c r="D2">
        <v>54.03</v>
      </c>
    </row>
    <row r="3" spans="1:4">
      <c r="A3" t="s">
        <v>87</v>
      </c>
      <c r="B3">
        <v>88163</v>
      </c>
      <c r="C3">
        <v>4.29</v>
      </c>
      <c r="D3">
        <v>9.23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A6D6-D0EA-4DDB-93B9-2652EB74ABFA}">
  <dimension ref="A1:E3"/>
  <sheetViews>
    <sheetView workbookViewId="0">
      <selection activeCell="D1" activeCellId="1" sqref="A1:A3 D1:D3"/>
    </sheetView>
  </sheetViews>
  <sheetFormatPr defaultRowHeight="15"/>
  <sheetData>
    <row r="1" spans="1:5" ht="30.75">
      <c r="A1" s="1" t="s">
        <v>88</v>
      </c>
      <c r="B1" t="s">
        <v>89</v>
      </c>
      <c r="C1" t="s">
        <v>90</v>
      </c>
      <c r="D1" t="s">
        <v>91</v>
      </c>
      <c r="E1" t="s">
        <v>92</v>
      </c>
    </row>
    <row r="2" spans="1:5">
      <c r="A2" t="s">
        <v>93</v>
      </c>
      <c r="B2">
        <v>90557</v>
      </c>
      <c r="C2">
        <v>1</v>
      </c>
      <c r="D2">
        <v>137.96</v>
      </c>
      <c r="E2">
        <v>12493089.359999999</v>
      </c>
    </row>
    <row r="3" spans="1:5">
      <c r="A3" t="s">
        <v>94</v>
      </c>
      <c r="B3">
        <v>2801</v>
      </c>
      <c r="C3">
        <v>2.11</v>
      </c>
      <c r="D3">
        <v>260.05</v>
      </c>
      <c r="E3">
        <v>728408.75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2B01-92AC-4C9D-9BA0-0E5B58DFF89C}">
  <dimension ref="A1:P28"/>
  <sheetViews>
    <sheetView topLeftCell="A14" workbookViewId="0">
      <selection activeCell="M9" sqref="M9"/>
    </sheetView>
  </sheetViews>
  <sheetFormatPr defaultRowHeight="15"/>
  <sheetData>
    <row r="1" spans="1:5">
      <c r="A1" t="s">
        <v>37</v>
      </c>
      <c r="B1" t="s">
        <v>12</v>
      </c>
      <c r="C1" t="s">
        <v>95</v>
      </c>
      <c r="D1" t="s">
        <v>96</v>
      </c>
      <c r="E1" t="s">
        <v>97</v>
      </c>
    </row>
    <row r="2" spans="1:5">
      <c r="A2" t="s">
        <v>65</v>
      </c>
      <c r="B2">
        <v>41</v>
      </c>
      <c r="C2">
        <v>48.34</v>
      </c>
      <c r="D2">
        <v>60.07</v>
      </c>
      <c r="E2">
        <v>12.2</v>
      </c>
    </row>
    <row r="3" spans="1:5">
      <c r="A3" t="s">
        <v>61</v>
      </c>
      <c r="B3">
        <v>243</v>
      </c>
      <c r="C3">
        <v>46.43</v>
      </c>
      <c r="D3">
        <v>57.9</v>
      </c>
      <c r="E3">
        <v>2.88</v>
      </c>
    </row>
    <row r="4" spans="1:5">
      <c r="A4" t="s">
        <v>53</v>
      </c>
      <c r="B4">
        <v>717</v>
      </c>
      <c r="C4">
        <v>42.95</v>
      </c>
      <c r="D4">
        <v>53.72</v>
      </c>
      <c r="E4">
        <v>19.670000000000002</v>
      </c>
    </row>
    <row r="5" spans="1:5">
      <c r="A5" t="s">
        <v>63</v>
      </c>
      <c r="B5">
        <v>80</v>
      </c>
      <c r="C5">
        <v>45.55</v>
      </c>
      <c r="D5">
        <v>51.03</v>
      </c>
      <c r="E5">
        <v>3.75</v>
      </c>
    </row>
    <row r="6" spans="1:5">
      <c r="A6" t="s">
        <v>62</v>
      </c>
      <c r="B6">
        <v>145</v>
      </c>
      <c r="C6">
        <v>37.450000000000003</v>
      </c>
      <c r="D6">
        <v>50.41</v>
      </c>
      <c r="E6">
        <v>4.1399999999999997</v>
      </c>
    </row>
    <row r="7" spans="1:5">
      <c r="A7" t="s">
        <v>56</v>
      </c>
      <c r="B7">
        <v>476</v>
      </c>
      <c r="C7">
        <v>42.98</v>
      </c>
      <c r="D7">
        <v>50.29</v>
      </c>
      <c r="E7">
        <v>15.97</v>
      </c>
    </row>
    <row r="8" spans="1:5">
      <c r="A8" t="s">
        <v>55</v>
      </c>
      <c r="B8">
        <v>517</v>
      </c>
      <c r="C8">
        <v>48.84</v>
      </c>
      <c r="D8">
        <v>49.84</v>
      </c>
      <c r="E8">
        <v>11.03</v>
      </c>
    </row>
    <row r="9" spans="1:5">
      <c r="A9" t="s">
        <v>57</v>
      </c>
      <c r="B9">
        <v>474</v>
      </c>
      <c r="C9">
        <v>39.26</v>
      </c>
      <c r="D9">
        <v>49.4</v>
      </c>
      <c r="E9">
        <v>10.76</v>
      </c>
    </row>
    <row r="10" spans="1:5">
      <c r="A10" t="s">
        <v>60</v>
      </c>
      <c r="B10">
        <v>274</v>
      </c>
      <c r="C10">
        <v>42.35</v>
      </c>
      <c r="D10">
        <v>49.4</v>
      </c>
      <c r="E10">
        <v>12.77</v>
      </c>
    </row>
    <row r="11" spans="1:5">
      <c r="A11" t="s">
        <v>58</v>
      </c>
      <c r="B11">
        <v>397</v>
      </c>
      <c r="C11">
        <v>38.58</v>
      </c>
      <c r="D11">
        <v>46.83</v>
      </c>
      <c r="E11">
        <v>23.93</v>
      </c>
    </row>
    <row r="12" spans="1:5">
      <c r="A12" t="s">
        <v>51</v>
      </c>
      <c r="B12">
        <v>946</v>
      </c>
      <c r="C12">
        <v>39.700000000000003</v>
      </c>
      <c r="D12">
        <v>46.28</v>
      </c>
      <c r="E12">
        <v>12.37</v>
      </c>
    </row>
    <row r="13" spans="1:5">
      <c r="A13" t="s">
        <v>59</v>
      </c>
      <c r="B13">
        <v>335</v>
      </c>
      <c r="C13">
        <v>40.94</v>
      </c>
      <c r="D13">
        <v>46.2</v>
      </c>
      <c r="E13">
        <v>15.22</v>
      </c>
    </row>
    <row r="14" spans="1:5">
      <c r="A14" t="s">
        <v>49</v>
      </c>
      <c r="B14">
        <v>1593</v>
      </c>
      <c r="C14">
        <v>35.83</v>
      </c>
      <c r="D14">
        <v>43.37</v>
      </c>
      <c r="E14">
        <v>10.8</v>
      </c>
    </row>
    <row r="15" spans="1:5">
      <c r="A15" t="s">
        <v>50</v>
      </c>
      <c r="B15">
        <v>1279</v>
      </c>
      <c r="C15">
        <v>36.5</v>
      </c>
      <c r="D15">
        <v>42.67</v>
      </c>
      <c r="E15">
        <v>15.32</v>
      </c>
    </row>
    <row r="16" spans="1:5">
      <c r="A16" t="s">
        <v>64</v>
      </c>
      <c r="B16">
        <v>67</v>
      </c>
      <c r="C16">
        <v>41.3</v>
      </c>
      <c r="D16">
        <v>38.6</v>
      </c>
      <c r="E16">
        <v>4.4800000000000004</v>
      </c>
    </row>
    <row r="17" spans="1:16">
      <c r="A17" t="s">
        <v>45</v>
      </c>
      <c r="B17">
        <v>3256</v>
      </c>
      <c r="C17">
        <v>29.96</v>
      </c>
      <c r="D17">
        <v>38.549999999999997</v>
      </c>
      <c r="E17">
        <v>14.04</v>
      </c>
    </row>
    <row r="18" spans="1:16">
      <c r="A18" t="s">
        <v>52</v>
      </c>
      <c r="B18">
        <v>886</v>
      </c>
      <c r="C18">
        <v>32.770000000000003</v>
      </c>
      <c r="D18">
        <v>37.65</v>
      </c>
      <c r="E18">
        <v>6.77</v>
      </c>
      <c r="O18" s="10" t="s">
        <v>98</v>
      </c>
      <c r="P18" s="10" t="s">
        <v>99</v>
      </c>
    </row>
    <row r="19" spans="1:16">
      <c r="A19" t="s">
        <v>48</v>
      </c>
      <c r="B19">
        <v>1995</v>
      </c>
      <c r="C19">
        <v>24.57</v>
      </c>
      <c r="D19">
        <v>34.619999999999997</v>
      </c>
      <c r="E19">
        <v>12.23</v>
      </c>
      <c r="O19" t="s">
        <v>58</v>
      </c>
      <c r="P19">
        <v>23.93</v>
      </c>
    </row>
    <row r="20" spans="1:16">
      <c r="A20" t="s">
        <v>47</v>
      </c>
      <c r="B20">
        <v>1957</v>
      </c>
      <c r="C20">
        <v>26.25</v>
      </c>
      <c r="D20">
        <v>34.229999999999997</v>
      </c>
      <c r="E20">
        <v>8.18</v>
      </c>
      <c r="O20" t="s">
        <v>53</v>
      </c>
      <c r="P20">
        <v>19.670000000000002</v>
      </c>
    </row>
    <row r="21" spans="1:16">
      <c r="A21" t="s">
        <v>42</v>
      </c>
      <c r="B21">
        <v>5344</v>
      </c>
      <c r="C21">
        <v>24.81</v>
      </c>
      <c r="D21">
        <v>33.909999999999997</v>
      </c>
      <c r="E21">
        <v>7.15</v>
      </c>
      <c r="O21" t="s">
        <v>56</v>
      </c>
      <c r="P21">
        <v>15.97</v>
      </c>
    </row>
    <row r="22" spans="1:16">
      <c r="A22" t="s">
        <v>54</v>
      </c>
      <c r="B22">
        <v>701</v>
      </c>
      <c r="C22">
        <v>27.02</v>
      </c>
      <c r="D22">
        <v>33.69</v>
      </c>
      <c r="E22">
        <v>11.55</v>
      </c>
      <c r="O22" t="s">
        <v>50</v>
      </c>
      <c r="P22">
        <v>15.32</v>
      </c>
    </row>
    <row r="23" spans="1:16">
      <c r="A23" t="s">
        <v>43</v>
      </c>
      <c r="B23">
        <v>4923</v>
      </c>
      <c r="C23">
        <v>23.49</v>
      </c>
      <c r="D23">
        <v>33.47</v>
      </c>
      <c r="E23">
        <v>5</v>
      </c>
      <c r="O23" t="s">
        <v>59</v>
      </c>
      <c r="P23">
        <v>15.22</v>
      </c>
    </row>
    <row r="24" spans="1:16">
      <c r="A24" t="s">
        <v>46</v>
      </c>
      <c r="B24">
        <v>2080</v>
      </c>
      <c r="C24">
        <v>23.86</v>
      </c>
      <c r="D24">
        <v>33.43</v>
      </c>
      <c r="E24">
        <v>7.07</v>
      </c>
    </row>
    <row r="25" spans="1:16">
      <c r="A25" t="s">
        <v>44</v>
      </c>
      <c r="B25">
        <v>3546</v>
      </c>
      <c r="C25">
        <v>24.85</v>
      </c>
      <c r="D25">
        <v>33.020000000000003</v>
      </c>
      <c r="E25">
        <v>9.76</v>
      </c>
    </row>
    <row r="26" spans="1:16">
      <c r="A26" t="s">
        <v>41</v>
      </c>
      <c r="B26">
        <v>11354</v>
      </c>
      <c r="C26">
        <v>23.46</v>
      </c>
      <c r="D26">
        <v>31.58</v>
      </c>
      <c r="E26">
        <v>5.61</v>
      </c>
    </row>
    <row r="27" spans="1:16">
      <c r="A27" t="s">
        <v>40</v>
      </c>
      <c r="B27">
        <v>12350</v>
      </c>
      <c r="C27">
        <v>23.95</v>
      </c>
      <c r="D27">
        <v>31.56</v>
      </c>
      <c r="E27">
        <v>13.47</v>
      </c>
    </row>
    <row r="28" spans="1:16">
      <c r="A28" t="s">
        <v>39</v>
      </c>
      <c r="B28">
        <v>40494</v>
      </c>
      <c r="C28">
        <v>17.329999999999998</v>
      </c>
      <c r="D28">
        <v>25.15</v>
      </c>
      <c r="E28">
        <v>5.89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2026-10-02T17:46:46Z</dcterms:created>
  <dcterms:modified xsi:type="dcterms:W3CDTF">2026-10-02T21:08:19Z</dcterms:modified>
  <cp:category/>
  <cp:contentStatus/>
</cp:coreProperties>
</file>